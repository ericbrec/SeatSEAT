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thoma\Github\SeatSEAT\examples\Mariners 2026\"/>
    </mc:Choice>
  </mc:AlternateContent>
  <xr:revisionPtr revIDLastSave="0" documentId="8_{BA335A27-8060-41C7-849F-ED898F845339}" xr6:coauthVersionLast="47" xr6:coauthVersionMax="47" xr10:uidLastSave="{00000000-0000-0000-0000-000000000000}"/>
  <bookViews>
    <workbookView xWindow="2280" yWindow="2280" windowWidth="19540" windowHeight="15370" xr2:uid="{00000000-000D-0000-FFFF-FFFF00000000}"/>
  </bookViews>
  <sheets>
    <sheet name="Ranking" sheetId="1" r:id="rId1"/>
  </sheets>
  <definedNames>
    <definedName name="_xlnm._FilterDatabase" localSheetId="0" hidden="1">Ranking!$J$1:$S$82</definedName>
    <definedName name="HASH" comment="djb2 string hash, includes filename">_xlfn.LAMBDA(_xlpm.value,_xlfn.LET(_xlpm.s,_xlpm.value&amp;CELL("filename"),_xlpm.bytes,_xlfn.UNICODE(MID(_xlpm.s,_xlfn.SEQUENCE(LEN(_xlpm.s)),1)),_xlpm.h0,5381,_xlpm.step,_xlfn.LAMBDA(_xlpm.h,_xlpm.c,MOD(_xlpm.h*33+_xlpm.c,2^32)),_xlfn.REDUCE(_xlpm.h0,_xlpm.bytes,_xlpm.step)/2^32)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28" i="1" l="1"/>
  <c r="AE28" i="1"/>
  <c r="AE24" i="1"/>
  <c r="AF24" i="1" s="1"/>
  <c r="AF28" i="1" s="1"/>
  <c r="AE27" i="1"/>
  <c r="AF27" i="1" s="1"/>
  <c r="AD24" i="1"/>
  <c r="AD25" i="1"/>
  <c r="AE25" i="1" s="1"/>
  <c r="AF25" i="1" s="1"/>
  <c r="AD26" i="1"/>
  <c r="AE26" i="1" s="1"/>
  <c r="AF26" i="1" s="1"/>
  <c r="AD27" i="1"/>
  <c r="AD2" i="1"/>
  <c r="AE2" i="1"/>
  <c r="AD3" i="1"/>
  <c r="AE3" i="1"/>
  <c r="AC17" i="1" l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U2" i="1" a="1"/>
  <c r="U2" i="1" s="1"/>
  <c r="U3" i="1" a="1"/>
  <c r="U3" i="1" s="1"/>
  <c r="U4" i="1" a="1"/>
  <c r="U4" i="1" s="1"/>
  <c r="U5" i="1" a="1"/>
  <c r="U5" i="1" s="1"/>
  <c r="U6" i="1" a="1"/>
  <c r="U6" i="1" s="1"/>
  <c r="U7" i="1" a="1"/>
  <c r="U7" i="1" s="1"/>
  <c r="U8" i="1" a="1"/>
  <c r="U8" i="1" s="1"/>
  <c r="U9" i="1" a="1"/>
  <c r="U9" i="1" s="1"/>
  <c r="U10" i="1" a="1"/>
  <c r="U10" i="1" s="1"/>
  <c r="U11" i="1" a="1"/>
  <c r="U11" i="1" s="1"/>
  <c r="U12" i="1" a="1"/>
  <c r="U12" i="1" s="1"/>
  <c r="U13" i="1" a="1"/>
  <c r="U13" i="1" s="1"/>
  <c r="U14" i="1" a="1"/>
  <c r="U14" i="1" s="1"/>
  <c r="U15" i="1" a="1"/>
  <c r="U15" i="1" s="1"/>
  <c r="U16" i="1" a="1"/>
  <c r="U16" i="1" s="1"/>
  <c r="U17" i="1" a="1"/>
  <c r="U17" i="1" s="1"/>
  <c r="U18" i="1" a="1"/>
  <c r="U18" i="1" s="1"/>
  <c r="U19" i="1" a="1"/>
  <c r="U19" i="1" s="1"/>
  <c r="U20" i="1" a="1"/>
  <c r="U20" i="1" s="1"/>
  <c r="U21" i="1" a="1"/>
  <c r="U21" i="1" s="1"/>
  <c r="U22" i="1" a="1"/>
  <c r="U22" i="1" s="1"/>
  <c r="U23" i="1" a="1"/>
  <c r="U23" i="1" s="1"/>
  <c r="U24" i="1" a="1"/>
  <c r="U24" i="1" s="1"/>
  <c r="U25" i="1" a="1"/>
  <c r="U25" i="1" s="1"/>
  <c r="U26" i="1" a="1"/>
  <c r="U26" i="1" s="1"/>
  <c r="U27" i="1" a="1"/>
  <c r="U27" i="1" s="1"/>
  <c r="U28" i="1" a="1"/>
  <c r="U28" i="1" s="1"/>
  <c r="U29" i="1" a="1"/>
  <c r="U29" i="1" s="1"/>
  <c r="U30" i="1" a="1"/>
  <c r="U30" i="1" s="1"/>
  <c r="U31" i="1" a="1"/>
  <c r="U31" i="1" s="1"/>
  <c r="U32" i="1" a="1"/>
  <c r="U32" i="1" s="1"/>
  <c r="U33" i="1" a="1"/>
  <c r="U33" i="1" s="1"/>
  <c r="U34" i="1" a="1"/>
  <c r="U34" i="1" s="1"/>
  <c r="U35" i="1" a="1"/>
  <c r="U35" i="1" s="1"/>
  <c r="U36" i="1" a="1"/>
  <c r="U36" i="1" s="1"/>
  <c r="U37" i="1" a="1"/>
  <c r="U37" i="1" s="1"/>
  <c r="U38" i="1" a="1"/>
  <c r="U38" i="1" s="1"/>
  <c r="U39" i="1" a="1"/>
  <c r="U39" i="1" s="1"/>
  <c r="U40" i="1" a="1"/>
  <c r="U40" i="1" s="1"/>
  <c r="U41" i="1" a="1"/>
  <c r="U41" i="1" s="1"/>
  <c r="U42" i="1" a="1"/>
  <c r="U42" i="1" s="1"/>
  <c r="U43" i="1" a="1"/>
  <c r="U43" i="1" s="1"/>
  <c r="U44" i="1" a="1"/>
  <c r="U44" i="1" s="1"/>
  <c r="U45" i="1" a="1"/>
  <c r="U45" i="1" s="1"/>
  <c r="U46" i="1" a="1"/>
  <c r="U46" i="1" s="1"/>
  <c r="U47" i="1" a="1"/>
  <c r="U47" i="1" s="1"/>
  <c r="U48" i="1" a="1"/>
  <c r="U48" i="1" s="1"/>
  <c r="U49" i="1" a="1"/>
  <c r="U49" i="1" s="1"/>
  <c r="U50" i="1" a="1"/>
  <c r="U50" i="1" s="1"/>
  <c r="U51" i="1" a="1"/>
  <c r="U51" i="1" s="1"/>
  <c r="U52" i="1" a="1"/>
  <c r="U52" i="1" s="1"/>
  <c r="U53" i="1" a="1"/>
  <c r="U53" i="1" s="1"/>
  <c r="U54" i="1" a="1"/>
  <c r="U54" i="1" s="1"/>
  <c r="U55" i="1" a="1"/>
  <c r="U55" i="1" s="1"/>
  <c r="U56" i="1" a="1"/>
  <c r="U56" i="1" s="1"/>
  <c r="U57" i="1" a="1"/>
  <c r="U57" i="1" s="1"/>
  <c r="U58" i="1" a="1"/>
  <c r="U58" i="1" s="1"/>
  <c r="U59" i="1" a="1"/>
  <c r="U59" i="1" s="1"/>
  <c r="U60" i="1" a="1"/>
  <c r="U60" i="1" s="1"/>
  <c r="U61" i="1" a="1"/>
  <c r="U61" i="1" s="1"/>
  <c r="U62" i="1" a="1"/>
  <c r="U62" i="1" s="1"/>
  <c r="U63" i="1" a="1"/>
  <c r="U63" i="1" s="1"/>
  <c r="U64" i="1" a="1"/>
  <c r="U64" i="1" s="1"/>
  <c r="U65" i="1" a="1"/>
  <c r="U65" i="1" s="1"/>
  <c r="U66" i="1" a="1"/>
  <c r="U66" i="1" s="1"/>
  <c r="U67" i="1" a="1"/>
  <c r="U67" i="1" s="1"/>
  <c r="U68" i="1" a="1"/>
  <c r="U68" i="1" s="1"/>
  <c r="U69" i="1" a="1"/>
  <c r="U69" i="1" s="1"/>
  <c r="U70" i="1" a="1"/>
  <c r="U70" i="1" s="1"/>
  <c r="U71" i="1" a="1"/>
  <c r="U71" i="1" s="1"/>
  <c r="U72" i="1" a="1"/>
  <c r="U72" i="1" s="1"/>
  <c r="U73" i="1" a="1"/>
  <c r="U73" i="1" s="1"/>
  <c r="U74" i="1" a="1"/>
  <c r="U74" i="1" s="1"/>
  <c r="U75" i="1" a="1"/>
  <c r="U75" i="1" s="1"/>
  <c r="U76" i="1" a="1"/>
  <c r="U76" i="1" s="1"/>
  <c r="U77" i="1" a="1"/>
  <c r="U77" i="1" s="1"/>
  <c r="U78" i="1" a="1"/>
  <c r="U78" i="1" s="1"/>
  <c r="U79" i="1" a="1"/>
  <c r="U79" i="1" s="1"/>
  <c r="U80" i="1" a="1"/>
  <c r="U80" i="1" s="1"/>
  <c r="U81" i="1" a="1"/>
  <c r="U81" i="1" s="1"/>
  <c r="U82" i="1" a="1"/>
  <c r="U82" i="1" s="1"/>
  <c r="T2" i="1" a="1"/>
  <c r="T2" i="1" s="1"/>
  <c r="T3" i="1" a="1"/>
  <c r="T3" i="1" s="1"/>
  <c r="T4" i="1" a="1"/>
  <c r="T4" i="1" s="1"/>
  <c r="T5" i="1" a="1"/>
  <c r="T5" i="1" s="1"/>
  <c r="T6" i="1" a="1"/>
  <c r="T6" i="1" s="1"/>
  <c r="T7" i="1" a="1"/>
  <c r="T7" i="1" s="1"/>
  <c r="T8" i="1" a="1"/>
  <c r="T8" i="1" s="1"/>
  <c r="T9" i="1" a="1"/>
  <c r="T9" i="1" s="1"/>
  <c r="T10" i="1" a="1"/>
  <c r="T10" i="1" s="1"/>
  <c r="T11" i="1" a="1"/>
  <c r="T11" i="1" s="1"/>
  <c r="T12" i="1" a="1"/>
  <c r="T12" i="1" s="1"/>
  <c r="T13" i="1" a="1"/>
  <c r="T13" i="1" s="1"/>
  <c r="T14" i="1" a="1"/>
  <c r="T14" i="1" s="1"/>
  <c r="T15" i="1" a="1"/>
  <c r="T15" i="1" s="1"/>
  <c r="T16" i="1" a="1"/>
  <c r="T16" i="1" s="1"/>
  <c r="T17" i="1" a="1"/>
  <c r="T17" i="1" s="1"/>
  <c r="T18" i="1" a="1"/>
  <c r="T18" i="1" s="1"/>
  <c r="T19" i="1" a="1"/>
  <c r="T19" i="1" s="1"/>
  <c r="T20" i="1" a="1"/>
  <c r="T20" i="1" s="1"/>
  <c r="T21" i="1" a="1"/>
  <c r="T21" i="1" s="1"/>
  <c r="T22" i="1" a="1"/>
  <c r="T22" i="1" s="1"/>
  <c r="T23" i="1" a="1"/>
  <c r="T23" i="1" s="1"/>
  <c r="T24" i="1" a="1"/>
  <c r="T24" i="1" s="1"/>
  <c r="T25" i="1" a="1"/>
  <c r="T25" i="1" s="1"/>
  <c r="T26" i="1" a="1"/>
  <c r="T26" i="1" s="1"/>
  <c r="T27" i="1" a="1"/>
  <c r="T27" i="1" s="1"/>
  <c r="T28" i="1" a="1"/>
  <c r="T28" i="1" s="1"/>
  <c r="T29" i="1" a="1"/>
  <c r="T29" i="1" s="1"/>
  <c r="T30" i="1" a="1"/>
  <c r="T30" i="1" s="1"/>
  <c r="T31" i="1" a="1"/>
  <c r="T31" i="1" s="1"/>
  <c r="T32" i="1" a="1"/>
  <c r="T32" i="1" s="1"/>
  <c r="T33" i="1" a="1"/>
  <c r="T33" i="1" s="1"/>
  <c r="T34" i="1" a="1"/>
  <c r="T34" i="1" s="1"/>
  <c r="T35" i="1" a="1"/>
  <c r="T35" i="1" s="1"/>
  <c r="T36" i="1" a="1"/>
  <c r="T36" i="1" s="1"/>
  <c r="T37" i="1" a="1"/>
  <c r="T37" i="1" s="1"/>
  <c r="T38" i="1" a="1"/>
  <c r="T38" i="1" s="1"/>
  <c r="T39" i="1" a="1"/>
  <c r="T39" i="1" s="1"/>
  <c r="T40" i="1" a="1"/>
  <c r="T40" i="1" s="1"/>
  <c r="T41" i="1" a="1"/>
  <c r="T41" i="1" s="1"/>
  <c r="T42" i="1" a="1"/>
  <c r="T42" i="1" s="1"/>
  <c r="T43" i="1" a="1"/>
  <c r="T43" i="1" s="1"/>
  <c r="T44" i="1" a="1"/>
  <c r="T44" i="1" s="1"/>
  <c r="T45" i="1" a="1"/>
  <c r="T45" i="1" s="1"/>
  <c r="T46" i="1" a="1"/>
  <c r="T46" i="1" s="1"/>
  <c r="T47" i="1" a="1"/>
  <c r="T47" i="1" s="1"/>
  <c r="T48" i="1" a="1"/>
  <c r="T48" i="1" s="1"/>
  <c r="T49" i="1" a="1"/>
  <c r="T49" i="1" s="1"/>
  <c r="T50" i="1" a="1"/>
  <c r="T50" i="1" s="1"/>
  <c r="T51" i="1" a="1"/>
  <c r="T51" i="1" s="1"/>
  <c r="T52" i="1" a="1"/>
  <c r="T52" i="1" s="1"/>
  <c r="T53" i="1" a="1"/>
  <c r="T53" i="1" s="1"/>
  <c r="T54" i="1" a="1"/>
  <c r="T54" i="1" s="1"/>
  <c r="T55" i="1" a="1"/>
  <c r="T55" i="1" s="1"/>
  <c r="T56" i="1" a="1"/>
  <c r="T56" i="1" s="1"/>
  <c r="T57" i="1" a="1"/>
  <c r="T57" i="1" s="1"/>
  <c r="T58" i="1" a="1"/>
  <c r="T58" i="1" s="1"/>
  <c r="T59" i="1" a="1"/>
  <c r="T59" i="1" s="1"/>
  <c r="T60" i="1" a="1"/>
  <c r="T60" i="1" s="1"/>
  <c r="T61" i="1" a="1"/>
  <c r="T61" i="1" s="1"/>
  <c r="T62" i="1" a="1"/>
  <c r="T62" i="1" s="1"/>
  <c r="T63" i="1" a="1"/>
  <c r="T63" i="1" s="1"/>
  <c r="T64" i="1" a="1"/>
  <c r="T64" i="1" s="1"/>
  <c r="T65" i="1" a="1"/>
  <c r="T65" i="1" s="1"/>
  <c r="T66" i="1" a="1"/>
  <c r="T66" i="1" s="1"/>
  <c r="T67" i="1" a="1"/>
  <c r="T67" i="1" s="1"/>
  <c r="T68" i="1" a="1"/>
  <c r="T68" i="1" s="1"/>
  <c r="T69" i="1" a="1"/>
  <c r="T69" i="1" s="1"/>
  <c r="T70" i="1" a="1"/>
  <c r="T70" i="1" s="1"/>
  <c r="T71" i="1" a="1"/>
  <c r="T71" i="1" s="1"/>
  <c r="T72" i="1" a="1"/>
  <c r="T72" i="1" s="1"/>
  <c r="T73" i="1" a="1"/>
  <c r="T73" i="1" s="1"/>
  <c r="T74" i="1" a="1"/>
  <c r="T74" i="1" s="1"/>
  <c r="T75" i="1" a="1"/>
  <c r="T75" i="1" s="1"/>
  <c r="T76" i="1" a="1"/>
  <c r="T76" i="1" s="1"/>
  <c r="T77" i="1" a="1"/>
  <c r="T77" i="1" s="1"/>
  <c r="T78" i="1" a="1"/>
  <c r="T78" i="1" s="1"/>
  <c r="T79" i="1" a="1"/>
  <c r="T79" i="1" s="1"/>
  <c r="T80" i="1" a="1"/>
  <c r="T80" i="1" s="1"/>
  <c r="T81" i="1" a="1"/>
  <c r="T81" i="1" s="1"/>
  <c r="T82" i="1" a="1"/>
  <c r="T82" i="1" s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AD5" i="1"/>
  <c r="AD6" i="1"/>
  <c r="AD7" i="1"/>
  <c r="AD8" i="1"/>
  <c r="AE5" i="1"/>
  <c r="AE6" i="1"/>
  <c r="AE7" i="1"/>
  <c r="AE8" i="1"/>
  <c r="AD9" i="1"/>
  <c r="AD10" i="1"/>
  <c r="AD11" i="1"/>
  <c r="AD12" i="1"/>
  <c r="AE9" i="1"/>
  <c r="AE10" i="1"/>
  <c r="AE11" i="1"/>
  <c r="AE12" i="1"/>
  <c r="AD13" i="1"/>
  <c r="AD14" i="1"/>
  <c r="AE13" i="1"/>
  <c r="AE14" i="1"/>
  <c r="AD16" i="1"/>
  <c r="AE16" i="1"/>
  <c r="AD15" i="1"/>
  <c r="AE15" i="1"/>
  <c r="AE4" i="1"/>
  <c r="AD4" i="1"/>
  <c r="AB17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Q79" i="1" l="1"/>
  <c r="Q71" i="1"/>
  <c r="Q63" i="1"/>
  <c r="Q55" i="1"/>
  <c r="Q47" i="1"/>
  <c r="Q39" i="1"/>
  <c r="Q31" i="1"/>
  <c r="Q23" i="1"/>
  <c r="Q15" i="1"/>
  <c r="Q7" i="1"/>
  <c r="AE19" i="1"/>
  <c r="Q78" i="1"/>
  <c r="Q70" i="1"/>
  <c r="Q62" i="1"/>
  <c r="Q54" i="1"/>
  <c r="Q46" i="1"/>
  <c r="Q38" i="1"/>
  <c r="Q30" i="1"/>
  <c r="Q22" i="1"/>
  <c r="Q14" i="1"/>
  <c r="Q6" i="1"/>
  <c r="Q77" i="1"/>
  <c r="Q69" i="1"/>
  <c r="Q61" i="1"/>
  <c r="Q53" i="1"/>
  <c r="Q45" i="1"/>
  <c r="Q37" i="1"/>
  <c r="Q29" i="1"/>
  <c r="Q21" i="1"/>
  <c r="Q13" i="1"/>
  <c r="Q5" i="1"/>
  <c r="Q76" i="1"/>
  <c r="Q68" i="1"/>
  <c r="Q60" i="1"/>
  <c r="Q52" i="1"/>
  <c r="Q44" i="1"/>
  <c r="Q36" i="1"/>
  <c r="Q28" i="1"/>
  <c r="Q20" i="1"/>
  <c r="Q12" i="1"/>
  <c r="Q4" i="1"/>
  <c r="Q75" i="1"/>
  <c r="Q67" i="1"/>
  <c r="Q59" i="1"/>
  <c r="Q51" i="1"/>
  <c r="Q43" i="1"/>
  <c r="Q35" i="1"/>
  <c r="Q27" i="1"/>
  <c r="Q19" i="1"/>
  <c r="Q11" i="1"/>
  <c r="Q3" i="1"/>
  <c r="Q82" i="1"/>
  <c r="Q74" i="1"/>
  <c r="Q66" i="1"/>
  <c r="Q58" i="1"/>
  <c r="Q50" i="1"/>
  <c r="Q42" i="1"/>
  <c r="Q34" i="1"/>
  <c r="Q26" i="1"/>
  <c r="Q18" i="1"/>
  <c r="Q10" i="1"/>
  <c r="Q81" i="1"/>
  <c r="Q73" i="1"/>
  <c r="Q65" i="1"/>
  <c r="Q57" i="1"/>
  <c r="Q49" i="1"/>
  <c r="Q41" i="1"/>
  <c r="Q33" i="1"/>
  <c r="Q25" i="1"/>
  <c r="Q17" i="1"/>
  <c r="Q9" i="1"/>
  <c r="Q80" i="1"/>
  <c r="Q72" i="1"/>
  <c r="Q64" i="1"/>
  <c r="Q56" i="1"/>
  <c r="Q48" i="1"/>
  <c r="Q40" i="1"/>
  <c r="Q32" i="1"/>
  <c r="Q24" i="1"/>
  <c r="Q16" i="1"/>
  <c r="Q8" i="1"/>
  <c r="Q2" i="1"/>
  <c r="AD17" i="1"/>
  <c r="AE17" i="1"/>
  <c r="AE18" i="1" s="1"/>
  <c r="V5" i="1"/>
  <c r="V2" i="1"/>
  <c r="V39" i="1"/>
  <c r="V79" i="1"/>
  <c r="V71" i="1"/>
  <c r="V63" i="1"/>
  <c r="V55" i="1"/>
  <c r="V47" i="1"/>
  <c r="V74" i="1"/>
  <c r="V50" i="1"/>
  <c r="V34" i="1"/>
  <c r="V10" i="1"/>
  <c r="V73" i="1"/>
  <c r="V57" i="1"/>
  <c r="V49" i="1"/>
  <c r="V41" i="1"/>
  <c r="V25" i="1"/>
  <c r="V17" i="1"/>
  <c r="V9" i="1"/>
  <c r="V15" i="1"/>
  <c r="V70" i="1"/>
  <c r="V14" i="1"/>
  <c r="V7" i="1"/>
  <c r="V54" i="1"/>
  <c r="V30" i="1"/>
  <c r="V21" i="1"/>
  <c r="V23" i="1"/>
  <c r="V78" i="1"/>
  <c r="V46" i="1"/>
  <c r="V22" i="1"/>
  <c r="V77" i="1"/>
  <c r="V61" i="1"/>
  <c r="V45" i="1"/>
  <c r="V29" i="1"/>
  <c r="V31" i="1"/>
  <c r="V62" i="1"/>
  <c r="V38" i="1"/>
  <c r="V6" i="1"/>
  <c r="V69" i="1"/>
  <c r="V53" i="1"/>
  <c r="V37" i="1"/>
  <c r="V13" i="1"/>
  <c r="V66" i="1"/>
  <c r="V42" i="1"/>
  <c r="V18" i="1"/>
  <c r="V82" i="1"/>
  <c r="V58" i="1"/>
  <c r="V26" i="1"/>
  <c r="V81" i="1"/>
  <c r="V65" i="1"/>
  <c r="V33" i="1"/>
  <c r="V60" i="1"/>
  <c r="V28" i="1"/>
  <c r="V75" i="1"/>
  <c r="V27" i="1"/>
  <c r="V12" i="1"/>
  <c r="V72" i="1"/>
  <c r="V64" i="1"/>
  <c r="V48" i="1"/>
  <c r="V40" i="1"/>
  <c r="V24" i="1"/>
  <c r="V8" i="1"/>
  <c r="V68" i="1"/>
  <c r="V20" i="1"/>
  <c r="V80" i="1"/>
  <c r="V56" i="1"/>
  <c r="V16" i="1"/>
  <c r="V44" i="1"/>
  <c r="V32" i="1"/>
  <c r="V4" i="1"/>
  <c r="V52" i="1"/>
  <c r="V59" i="1"/>
  <c r="V51" i="1"/>
  <c r="V43" i="1"/>
  <c r="V35" i="1"/>
  <c r="V11" i="1"/>
  <c r="V3" i="1"/>
  <c r="V76" i="1"/>
  <c r="V36" i="1"/>
  <c r="V67" i="1"/>
  <c r="V19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<sst xmlns="http://schemas.openxmlformats.org/spreadsheetml/2006/main" count="283" uniqueCount="109">
  <si>
    <t>Date</t>
  </si>
  <si>
    <t>Time</t>
  </si>
  <si>
    <t>Day</t>
  </si>
  <si>
    <t>Rank</t>
  </si>
  <si>
    <t>Opponent</t>
  </si>
  <si>
    <t xml:space="preserve">Guardians </t>
  </si>
  <si>
    <t xml:space="preserve">Yankees </t>
  </si>
  <si>
    <t xml:space="preserve">Astros </t>
  </si>
  <si>
    <t xml:space="preserve">Rangers </t>
  </si>
  <si>
    <t xml:space="preserve">Athletics </t>
  </si>
  <si>
    <t xml:space="preserve">Royals </t>
  </si>
  <si>
    <t xml:space="preserve">Braves </t>
  </si>
  <si>
    <t xml:space="preserve">Padres </t>
  </si>
  <si>
    <t xml:space="preserve">White Sox </t>
  </si>
  <si>
    <t xml:space="preserve">D-backs </t>
  </si>
  <si>
    <t xml:space="preserve">Mets </t>
  </si>
  <si>
    <t xml:space="preserve">Orioles </t>
  </si>
  <si>
    <t xml:space="preserve">Red Sox </t>
  </si>
  <si>
    <t xml:space="preserve">Angels </t>
  </si>
  <si>
    <t xml:space="preserve">Blue Jays </t>
  </si>
  <si>
    <t xml:space="preserve">Giants </t>
  </si>
  <si>
    <t xml:space="preserve">Reds </t>
  </si>
  <si>
    <t xml:space="preserve">Twins </t>
  </si>
  <si>
    <t xml:space="preserve">Tigers </t>
  </si>
  <si>
    <t xml:space="preserve">Rays </t>
  </si>
  <si>
    <t xml:space="preserve">Cubs </t>
  </si>
  <si>
    <t xml:space="preserve">Phillies </t>
  </si>
  <si>
    <t>50 Seasons Celebration Night</t>
  </si>
  <si>
    <t>At least</t>
  </si>
  <si>
    <t>game(s) per month</t>
  </si>
  <si>
    <t>At most</t>
  </si>
  <si>
    <t>days between games</t>
  </si>
  <si>
    <t>game(s) per series</t>
  </si>
  <si>
    <t>days between games (pairs)</t>
  </si>
  <si>
    <t>days between games (quads)</t>
  </si>
  <si>
    <t>game(s) per month (pairs)</t>
  </si>
  <si>
    <t>game(s) per month (quads)</t>
  </si>
  <si>
    <t>game(s) per opponent</t>
  </si>
  <si>
    <t>Opening Day – Magnetic Schedule Giveaway (First 35,000 Fans, presented by Starbucks)</t>
  </si>
  <si>
    <t>AL West Champs Replica Banner Night (First 20,000 Fans, presented by T-Mobile)</t>
  </si>
  <si>
    <t>Cal Raleigh “60 Home Run” Bobblehead Night (First 40,000 Fans, presented by Alaska Airlines)</t>
  </si>
  <si>
    <t>Ichiro Replica Statue Night (First 40,000 Fans)</t>
  </si>
  <si>
    <t>Humpy Shoulder Plush Night (First 20,000 Fans, presented by Microsoft)</t>
  </si>
  <si>
    <t>Kingdome Fanny Pack Hat Night (First 10,000 Fans, presented by Global FCU)</t>
  </si>
  <si>
    <t>Cal Raleigh ’70s Jersey Night (First 15,000 Fans, presented by Virginia Mason Franciscan Health)</t>
  </si>
  <si>
    <t>’70s Pin Day (First 10,000 Fans, presented by KeyBank)</t>
  </si>
  <si>
    <t>Randy Johnson ’80s Jersey Night (First 20,000 Fans, presented by T-Mobile)</t>
  </si>
  <si>
    <t>Randy Johnson Number Retirement Ceremony Night</t>
  </si>
  <si>
    <t>’80s Pin Day (First 10,000 Fans, presented by KeyBank)</t>
  </si>
  <si>
    <t>Hello Kitty® Clear Crossbody Bag Night (First 20,000 Fans, presented by Starbucks)</t>
  </si>
  <si>
    <t>Salute to Armed Forces Night – Military Cap Giveaway (First 10,000 Fans, presented by Boeing)</t>
  </si>
  <si>
    <t>Josh Naylor Bobblehead 2-Day Giveaway (First 10,000 Fans, presented by Toyota Dealers)</t>
  </si>
  <si>
    <t>Fireworks Night (presented by T-Mobile)</t>
  </si>
  <si>
    <t>Julio Rodríguez ’90s Jersey Night (First 15,000 Fans, presented by KeyBank)</t>
  </si>
  <si>
    <t>’90s Pin Day (First 10,000 Fans, presented by KeyBank)</t>
  </si>
  <si>
    <t>Stars &amp; Stripes Soccer Jersey Day (First 15,000 Fans, presented by Alaska Airlines)</t>
  </si>
  <si>
    <t>Cal Raleigh POP! Collectible 3-Day Giveaway (First 10,000 Fans, presented by Funko)</t>
  </si>
  <si>
    <t>Fourth of July – Patriotic Bucket Hat Giveaway (First 10,000 Fans, presented by Coca-Cola)</t>
  </si>
  <si>
    <t>’00s Pin Day (First 10,000 Fans, presented by KeyBank)</t>
  </si>
  <si>
    <t>Fireworks Night + Season Ticket Member Appreciation Night</t>
  </si>
  <si>
    <t>Aloha Shirt Day (First 15,000 Fans)</t>
  </si>
  <si>
    <t>50 Seasons Pin Day (First 10,000 Fans, presented by KeyBank)</t>
  </si>
  <si>
    <t>’10s Pin Day (First 10,000 Fans, presented by KeyBank)</t>
  </si>
  <si>
    <t>Native American Heritage Night (presented by Muckleshoot Casino Resort)</t>
  </si>
  <si>
    <t>Fan Appreciation Night (presented by Starbucks) + Fireworks Night (presented by T-Mobile)</t>
  </si>
  <si>
    <t>Bryan Woo Bobblehead Night (First 20,000 Fans, presented by Lexus)</t>
  </si>
  <si>
    <t>Kids Appreciation Day (presented by BECU)</t>
  </si>
  <si>
    <t>Andrés Muñoz POP! Collectible 3-Day Giveaway (First 10,000 Fans, presented by Funko)</t>
  </si>
  <si>
    <t>’20s Pin Night (First 10,000 Fans, presented by KeyBank)</t>
  </si>
  <si>
    <t>A</t>
  </si>
  <si>
    <t>B</t>
  </si>
  <si>
    <t>D</t>
  </si>
  <si>
    <t>C</t>
  </si>
  <si>
    <t>Random</t>
  </si>
  <si>
    <t>Prefer later dates</t>
  </si>
  <si>
    <t>Sort</t>
  </si>
  <si>
    <t>Pairs</t>
  </si>
  <si>
    <t>Quads</t>
  </si>
  <si>
    <t>Tom Grandine</t>
  </si>
  <si>
    <t>Al Erisman</t>
  </si>
  <si>
    <t>Eric Brechner</t>
  </si>
  <si>
    <t>Total</t>
  </si>
  <si>
    <t>Games</t>
  </si>
  <si>
    <t>Tickets</t>
  </si>
  <si>
    <t>Prefer earlier dates</t>
  </si>
  <si>
    <t>Unassigned pairs:</t>
  </si>
  <si>
    <t>Type</t>
  </si>
  <si>
    <t>QuadRank</t>
  </si>
  <si>
    <t>Price</t>
  </si>
  <si>
    <t>Pick</t>
  </si>
  <si>
    <t>QuadPick</t>
  </si>
  <si>
    <t>FullName</t>
  </si>
  <si>
    <t>Promotions</t>
  </si>
  <si>
    <t>Comments</t>
  </si>
  <si>
    <t>QuadSort</t>
  </si>
  <si>
    <t>GamePairs</t>
  </si>
  <si>
    <t>Seats</t>
  </si>
  <si>
    <t>Available quads:</t>
  </si>
  <si>
    <t>Cost</t>
  </si>
  <si>
    <t>Andrew Erisman</t>
  </si>
  <si>
    <t>Cole Graves</t>
  </si>
  <si>
    <t>Fritz Klein</t>
  </si>
  <si>
    <t>Jordan Bork</t>
  </si>
  <si>
    <t>Karen Boehmer</t>
  </si>
  <si>
    <t>Michael Erisman</t>
  </si>
  <si>
    <t>Michael Jones</t>
  </si>
  <si>
    <t>Michael Rochester</t>
  </si>
  <si>
    <t>Mike Neff</t>
  </si>
  <si>
    <t>Ryan Falls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</si>
</sst>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[$-409]h:mm\ AM/PM;@"/>
    <numFmt numFmtId="165" formatCode="m/d;@"/>
    <numFmt numFmtId="166" formatCode="[$-409]h:mm\ a/p;@"/>
    <numFmt numFmtId="167" formatCode="[$-409]d\-mmm;@"/>
    <numFmt numFmtId="168" formatCode="&quot;$&quot;#,##0.00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2"/>
      <name val="Arial"/>
      <family val="2"/>
    </font>
    <font>
      <sz val="10"/>
      <name val="Arial"/>
    </font>
    <font>
      <b/>
      <sz val="12"/>
      <color theme="9"/>
      <name val="Arial"/>
      <family val="2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E593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4"/>
      </left>
      <right/>
      <top/>
      <bottom/>
      <diagonal/>
    </border>
  </borders>
  <cellStyleXfs count="11">
    <xf numFmtId="0" fontId="0" fillId="0" borderId="0"/>
    <xf numFmtId="0" fontId="5" fillId="0" borderId="0"/>
    <xf numFmtId="0" fontId="4" fillId="0" borderId="0"/>
    <xf numFmtId="0" fontId="3" fillId="0" borderId="0"/>
    <xf numFmtId="44" fontId="8" fillId="0" borderId="0" applyFont="0" applyFill="0" applyBorder="0" applyAlignment="0" applyProtection="0"/>
    <xf numFmtId="0" fontId="2" fillId="0" borderId="0"/>
    <xf numFmtId="44" fontId="10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</cellStyleXfs>
  <cellXfs count="24">
    <xf numFmtId="0" fontId="0" fillId="0" borderId="0" xfId="0"/>
    <xf numFmtId="0" fontId="6" fillId="0" borderId="0" xfId="0" applyFont="1"/>
    <xf numFmtId="164" fontId="0" fillId="0" borderId="0" xfId="0" applyNumberFormat="1"/>
    <xf numFmtId="0" fontId="7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7" fillId="0" borderId="0" xfId="0" applyFont="1" applyAlignment="1">
      <alignment horizontal="left" vertical="top" wrapText="1"/>
    </xf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top" wrapText="1"/>
    </xf>
    <xf numFmtId="18" fontId="0" fillId="0" borderId="0" xfId="0" applyNumberFormat="1" applyAlignment="1">
      <alignment horizontal="center" vertical="center"/>
    </xf>
    <xf numFmtId="18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0" fillId="2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0" xfId="0" applyFill="1"/>
    <xf numFmtId="168" fontId="0" fillId="0" borderId="0" xfId="6" applyNumberFormat="1" applyFont="1"/>
    <xf numFmtId="0" fontId="0" fillId="3" borderId="0" xfId="0" applyFill="1" applyAlignment="1">
      <alignment vertical="center"/>
    </xf>
    <xf numFmtId="0" fontId="9" fillId="0" borderId="0" xfId="0" applyFont="1" applyAlignment="1">
      <alignment horizontal="left" vertical="center" wrapText="1"/>
    </xf>
    <xf numFmtId="165" fontId="9" fillId="0" borderId="0" xfId="0" applyNumberFormat="1" applyFont="1" applyAlignment="1">
      <alignment horizontal="left" vertical="center" wrapText="1"/>
    </xf>
    <xf numFmtId="166" fontId="9" fillId="0" borderId="0" xfId="0" applyNumberFormat="1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2" fillId="0" borderId="1" xfId="0" applyFont="1" applyBorder="1"/>
    <xf numFmtId="0" fontId="12" fillId="0" borderId="0" xfId="0" applyFont="1"/>
    <xf numFmtId="168" fontId="0" fillId="0" borderId="0" xfId="0" applyNumberFormat="1"/>
    <xf numFmtId="0" fontId="0" fillId="4" borderId="0" xfId="0" applyFill="1" applyAlignment="1">
      <alignment vertical="center"/>
    </xf>
  </cellXfs>
  <cellStyles count="11">
    <cellStyle name="Currency" xfId="6" builtinId="4"/>
    <cellStyle name="Currency 2" xfId="4" xr:uid="{00000000-0005-0000-0000-000001000000}"/>
    <cellStyle name="Normal" xfId="0" builtinId="0"/>
    <cellStyle name="Normal 2" xfId="1" xr:uid="{00000000-0005-0000-0000-000003000000}"/>
    <cellStyle name="Normal 2 2" xfId="7" xr:uid="{5A1BAEB2-8AF6-4E85-944E-B09281C34BAC}"/>
    <cellStyle name="Normal 3" xfId="2" xr:uid="{00000000-0005-0000-0000-000004000000}"/>
    <cellStyle name="Normal 3 2" xfId="8" xr:uid="{DF30F84E-8102-4478-A07E-AF96CD83B961}"/>
    <cellStyle name="Normal 4" xfId="3" xr:uid="{00000000-0005-0000-0000-000005000000}"/>
    <cellStyle name="Normal 4 2" xfId="9" xr:uid="{2CC2089E-B26C-4672-BE6B-46FA50DA5ADA}"/>
    <cellStyle name="Normal 5" xfId="5" xr:uid="{AF0439D6-8192-4E89-93DB-F527DA4E9322}"/>
    <cellStyle name="Normal 5 2" xfId="10" xr:uid="{3A1A56AA-3C7A-4061-B590-CBE716B887D5}"/>
  </cellStyles>
  <dxfs count="27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numFmt numFmtId="168" formatCode="&quot;$&quot;#,##0.00"/>
    </dxf>
    <dxf>
      <numFmt numFmtId="0" formatCode="General"/>
    </dxf>
    <dxf>
      <numFmt numFmtId="0" formatCode="General"/>
    </dxf>
    <dxf>
      <numFmt numFmtId="168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numFmt numFmtId="0" formatCode="General"/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solid">
          <fgColor indexed="64"/>
          <bgColor rgb="FFFFE593"/>
        </patternFill>
      </fill>
      <alignment vertical="center" textRotation="0" wrapText="0" indent="0" justifyLastLine="0" shrinkToFit="0" readingOrder="0"/>
    </dxf>
    <dxf>
      <fill>
        <patternFill patternType="solid">
          <fgColor indexed="64"/>
          <bgColor rgb="FFFFC000"/>
        </patternFill>
      </fill>
      <alignment horizontal="general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168" formatCode="&quot;$&quot;#,##0.00"/>
    </dxf>
    <dxf>
      <font>
        <b val="0"/>
        <family val="2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family val="2"/>
      </font>
      <numFmt numFmtId="23" formatCode="h:mm\ AM/PM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family val="2"/>
      </font>
      <numFmt numFmtId="167" formatCode="[$-409]d\-mmm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family val="2"/>
      </font>
      <numFmt numFmtId="165" formatCode="m/d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</dxf>
  </dxfs>
  <tableStyles count="0" defaultTableStyle="TableStyleMedium9" defaultPivotStyle="PivotStyleLight16"/>
  <colors>
    <mruColors>
      <color rgb="FFDD6909"/>
      <color rgb="FFFFE593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12" Type="http://schemas.openxmlformats.org/officeDocument/2006/relationships/customXml" Target="../customXml/item5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11" Type="http://schemas.openxmlformats.org/officeDocument/2006/relationships/customXml" Target="../customXml/item4.xml"/><Relationship Id="rId5" Type="http://schemas.openxmlformats.org/officeDocument/2006/relationships/sheetMetadata" Target="metadata.xml"/><Relationship Id="rId15" Type="http://schemas.openxmlformats.org/officeDocument/2006/relationships/customXml" Target="../customXml/item8.xml"/><Relationship Id="rId10" Type="http://schemas.openxmlformats.org/officeDocument/2006/relationships/customXml" Target="../customXml/item3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197556</xdr:colOff>
      <xdr:row>1</xdr:row>
      <xdr:rowOff>31750</xdr:rowOff>
    </xdr:from>
    <xdr:ext cx="3379611" cy="315383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3BA8B5E-4287-785B-8F04-BB3809C185AF}"/>
            </a:ext>
          </a:extLst>
        </xdr:cNvPr>
        <xdr:cNvSpPr txBox="1"/>
      </xdr:nvSpPr>
      <xdr:spPr>
        <a:xfrm>
          <a:off x="197556" y="433917"/>
          <a:ext cx="3379611" cy="3153833"/>
        </a:xfrm>
        <a:prstGeom prst="rect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600" b="1" u="sng"/>
            <a:t>Instructions:</a:t>
          </a:r>
        </a:p>
        <a:p>
          <a:r>
            <a:rPr lang="en-US" sz="1000" b="1"/>
            <a:t>Please</a:t>
          </a:r>
          <a:r>
            <a:rPr lang="en-US" sz="1000" b="1" baseline="0"/>
            <a:t> do not change anything in the sheet other than the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DD6909"/>
              </a:solidFill>
              <a:effectLst/>
              <a:uLnTx/>
              <a:uFillTx/>
              <a:latin typeface="+mn-lt"/>
              <a:ea typeface="+mn-ea"/>
              <a:cs typeface="+mn-cs"/>
            </a:rPr>
            <a:t>Rank</a:t>
          </a:r>
          <a:r>
            <a:rPr lang="en-US" sz="1000" b="1" baseline="0"/>
            <a:t> column </a:t>
          </a:r>
          <a:r>
            <a:rPr lang="en-US" sz="1000" baseline="0"/>
            <a:t>(and optionally the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DD6909"/>
              </a:solidFill>
              <a:effectLst/>
              <a:uLnTx/>
              <a:uFillTx/>
              <a:latin typeface="+mn-lt"/>
              <a:ea typeface="+mn-ea"/>
              <a:cs typeface="+mn-cs"/>
            </a:rPr>
            <a:t>QuadRank</a:t>
          </a:r>
          <a:r>
            <a:rPr lang="en-US" sz="1000" baseline="0"/>
            <a:t> column).</a:t>
          </a:r>
          <a:endParaRPr lang="en-US" sz="1000"/>
        </a:p>
        <a:p>
          <a:endParaRPr lang="en-US" sz="1000"/>
        </a:p>
        <a:p>
          <a:r>
            <a:rPr lang="en-US" sz="1000" b="1"/>
            <a:t>Rename the sheet</a:t>
          </a:r>
          <a:r>
            <a:rPr lang="en-US" sz="1000"/>
            <a:t>,</a:t>
          </a:r>
          <a:r>
            <a:rPr lang="en-US" sz="1000" baseline="0"/>
            <a:t> replacing "Full Name" with your full name exactly as listed in the far right "FullName" table. If the number of pairs and/or quads for you are incorrect in that table, </a:t>
          </a:r>
          <a:r>
            <a:rPr lang="en-US" sz="1000" b="1" baseline="0"/>
            <a:t>please notify the organizer immediately</a:t>
          </a:r>
          <a:r>
            <a:rPr lang="en-US" sz="1000" baseline="0"/>
            <a:t>.</a:t>
          </a:r>
          <a:endParaRPr lang="en-US" sz="1000"/>
        </a:p>
        <a:p>
          <a:endParaRPr lang="en-US" sz="1000"/>
        </a:p>
        <a:p>
          <a:r>
            <a:rPr lang="en-US" sz="1000" b="1"/>
            <a:t>Enter your numerical</a:t>
          </a:r>
          <a:r>
            <a:rPr lang="en-US" sz="1000" b="1" baseline="0"/>
            <a:t> rank for each game for the entire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DD6909"/>
              </a:solidFill>
              <a:effectLst/>
              <a:uLnTx/>
              <a:uFillTx/>
              <a:latin typeface="+mn-lt"/>
              <a:ea typeface="+mn-ea"/>
              <a:cs typeface="+mn-cs"/>
            </a:rPr>
            <a:t>Rank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F79646"/>
              </a:solidFill>
              <a:effectLst/>
              <a:uLnTx/>
              <a:uFillTx/>
              <a:latin typeface="+mn-lt"/>
              <a:ea typeface="+mn-ea"/>
              <a:cs typeface="+mn-cs"/>
            </a:rPr>
            <a:t> </a:t>
          </a:r>
          <a:r>
            <a:rPr lang="en-US" sz="1000" b="1"/>
            <a:t>column </a:t>
          </a:r>
          <a:r>
            <a:rPr lang="en-US" sz="1000"/>
            <a:t>(the lowest rank is your top choice). I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 your quad ranks differ from your pair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ranks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fill out </a:t>
          </a:r>
          <a:r>
            <a:rPr lang="en-US" sz="1000"/>
            <a:t>the entire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F79646"/>
              </a:solidFill>
              <a:effectLst/>
              <a:uLnTx/>
              <a:uFillTx/>
              <a:latin typeface="+mn-lt"/>
              <a:ea typeface="+mn-ea"/>
              <a:cs typeface="+mn-cs"/>
            </a:rPr>
            <a:t>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DD6909"/>
              </a:solidFill>
              <a:effectLst/>
              <a:uLnTx/>
              <a:uFillTx/>
              <a:latin typeface="+mn-lt"/>
              <a:ea typeface="+mn-ea"/>
              <a:cs typeface="+mn-cs"/>
            </a:rPr>
            <a:t>QuadRank</a:t>
          </a:r>
          <a:r>
            <a:rPr lang="en-US" sz="1000"/>
            <a:t> column, </a:t>
          </a:r>
          <a:r>
            <a:rPr lang="en-US" sz="1000" baseline="0"/>
            <a:t>o</a:t>
          </a:r>
          <a:r>
            <a:rPr lang="en-US" sz="1000"/>
            <a:t>therwise leave that</a:t>
          </a:r>
          <a:r>
            <a:rPr lang="en-US" sz="1000" baseline="0"/>
            <a:t> column</a:t>
          </a:r>
          <a:r>
            <a:rPr lang="en-US" sz="1000"/>
            <a:t> blank.</a:t>
          </a:r>
        </a:p>
        <a:p>
          <a:endParaRPr lang="en-US" sz="1000"/>
        </a:p>
        <a:p>
          <a:r>
            <a:rPr lang="en-US" sz="1000" b="1"/>
            <a:t>Custom</a:t>
          </a:r>
          <a:r>
            <a:rPr lang="en-US" sz="1000" b="1" baseline="0"/>
            <a:t> sort </a:t>
          </a:r>
          <a:r>
            <a:rPr lang="en-US" sz="1000" b="1"/>
            <a:t>the games list by day, time, and type before submitting</a:t>
          </a:r>
          <a:r>
            <a:rPr lang="en-US" sz="1000" b="1" baseline="0"/>
            <a:t> </a:t>
          </a:r>
          <a:r>
            <a:rPr lang="en-US" sz="1000" b="0" baseline="0"/>
            <a:t>(ignore if you never resorted the list).</a:t>
          </a:r>
          <a:endParaRPr lang="en-US" sz="1000"/>
        </a:p>
        <a:p>
          <a:r>
            <a:rPr lang="en-US" sz="800"/>
            <a:t>  </a:t>
          </a:r>
        </a:p>
        <a:p>
          <a:r>
            <a:rPr lang="en-US" sz="1000"/>
            <a:t>Known game day promotions are listed.</a:t>
          </a:r>
          <a:r>
            <a:rPr lang="en-US" sz="1000" baseline="0"/>
            <a:t>  </a:t>
          </a:r>
          <a:r>
            <a:rPr lang="en-US" sz="1000"/>
            <a:t>There may be</a:t>
          </a:r>
          <a:r>
            <a:rPr lang="en-US" sz="1000" baseline="0"/>
            <a:t> addi</a:t>
          </a:r>
          <a:r>
            <a:rPr lang="en-US" sz="1000"/>
            <a:t>tional</a:t>
          </a:r>
          <a:r>
            <a:rPr lang="en-US" sz="1000" baseline="0"/>
            <a:t> giveaways and special events.</a:t>
          </a:r>
          <a:endParaRPr lang="en-US" sz="1000"/>
        </a:p>
      </xdr:txBody>
    </xdr:sp>
    <xdr:clientData/>
  </xdr:oneCellAnchor>
  <xdr:oneCellAnchor>
    <xdr:from>
      <xdr:col>0</xdr:col>
      <xdr:colOff>186972</xdr:colOff>
      <xdr:row>31</xdr:row>
      <xdr:rowOff>63500</xdr:rowOff>
    </xdr:from>
    <xdr:ext cx="3351389" cy="994833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DBC5275-8310-4546-94E7-898BD4A17086}"/>
            </a:ext>
          </a:extLst>
        </xdr:cNvPr>
        <xdr:cNvSpPr txBox="1"/>
      </xdr:nvSpPr>
      <xdr:spPr>
        <a:xfrm>
          <a:off x="186972" y="5228167"/>
          <a:ext cx="3351389" cy="994833"/>
        </a:xfrm>
        <a:prstGeom prst="rect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600" b="1" u="sng"/>
            <a:t>Constraints:</a:t>
          </a:r>
        </a:p>
        <a:p>
          <a:r>
            <a:rPr lang="en-US" sz="1000" b="1"/>
            <a:t>If</a:t>
          </a:r>
          <a:r>
            <a:rPr lang="en-US" sz="1000" b="1" baseline="0"/>
            <a:t> desired, select from the constraints below. Normally, you will not need to use the (pairs) and (quads) constraints unless you need to achieve different spacings between games for pairs and quads.</a:t>
          </a:r>
          <a:endParaRPr lang="en-US" sz="1000" b="1"/>
        </a:p>
      </xdr:txBody>
    </xdr:sp>
    <xdr:clientData/>
  </xdr:oneCellAnchor>
  <xdr:oneCellAnchor>
    <xdr:from>
      <xdr:col>0</xdr:col>
      <xdr:colOff>190499</xdr:colOff>
      <xdr:row>21</xdr:row>
      <xdr:rowOff>137584</xdr:rowOff>
    </xdr:from>
    <xdr:ext cx="3351389" cy="740832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5B41199-4018-43DD-B422-8235B042A8F5}"/>
            </a:ext>
          </a:extLst>
        </xdr:cNvPr>
        <xdr:cNvSpPr txBox="1"/>
      </xdr:nvSpPr>
      <xdr:spPr>
        <a:xfrm>
          <a:off x="190499" y="3714751"/>
          <a:ext cx="3351389" cy="740832"/>
        </a:xfrm>
        <a:prstGeom prst="rect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600" b="1" u="sng"/>
            <a:t>Tiebreaking:</a:t>
          </a:r>
        </a:p>
        <a:p>
          <a:r>
            <a:rPr lang="en-US" sz="1000" b="1"/>
            <a:t>S</a:t>
          </a:r>
          <a:r>
            <a:rPr lang="en-US" sz="1000" b="1" baseline="0"/>
            <a:t>elect your desired tiebreaking rule below. Tiebreaking is used when multiple games have the same rank.</a:t>
          </a:r>
          <a:endParaRPr lang="en-US" sz="1000" b="1"/>
        </a:p>
      </xdr:txBody>
    </xdr:sp>
    <xdr:clientData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ames" displayName="Games" ref="J1:Y82" totalsRowShown="0" headerRowDxfId="26" dataDxfId="25">
  <autoFilter ref="J1:Y82" xr:uid="{00000000-000C-0000-FFFF-FFFF00000000}"/>
  <sortState xmlns:xlrd2="http://schemas.microsoft.com/office/spreadsheetml/2017/richdata2" ref="J2:Y82">
    <sortCondition ref="K2:K82"/>
    <sortCondition ref="L2:L82"/>
    <sortCondition ref="N2:N82"/>
  </sortState>
  <tableColumns count="16">
    <tableColumn id="3" xr3:uid="{00000000-0010-0000-0000-000003000000}" name="Day" dataDxfId="24"/>
    <tableColumn id="2" xr3:uid="{00000000-0010-0000-0000-000002000000}" name="Date" dataDxfId="23"/>
    <tableColumn id="5" xr3:uid="{00000000-0010-0000-0000-000005000000}" name="Time" dataDxfId="22"/>
    <tableColumn id="4" xr3:uid="{00000000-0010-0000-0000-000004000000}" name="Opponent" dataDxfId="21"/>
    <tableColumn id="7" xr3:uid="{9E8F088B-1EA6-44CA-B818-1F7D43F5D5E7}" name="Type" dataCellStyle="Normal"/>
    <tableColumn id="8" xr3:uid="{AA6D2002-4C78-4093-9793-A575FAC0F72F}" name="Price" dataDxfId="20" dataCellStyle="Currency">
      <calculatedColumnFormula>_xlfn.XLOOKUP(Games[[#This Row],[Type]],Types[Type],Types[Price])</calculatedColumnFormula>
    </tableColumn>
    <tableColumn id="21" xr3:uid="{6605C5A5-6B7D-4186-8D6F-A61D7DFDD8D4}" name="GamePairs" dataDxfId="19">
      <calculatedColumnFormula>_xlfn.XLOOKUP(Games[[#This Row],[Type]],Types[Type],Types[Pairs])</calculatedColumnFormula>
    </tableColumn>
    <tableColumn id="15" xr3:uid="{9471ECAA-F4C1-478C-B117-15D31D83B2FA}" name="Seats" dataDxfId="18">
      <calculatedColumnFormula>TEXT(Games[[#This Row],[Price]],"$#,##0.00")&amp;" ("&amp;Games[[#This Row],[GamePairs]]*2&amp;")"</calculatedColumnFormula>
    </tableColumn>
    <tableColumn id="6" xr3:uid="{00000000-0010-0000-0000-000006000000}" name="Rank" dataDxfId="17"/>
    <tableColumn id="10" xr3:uid="{00000000-0010-0000-0000-00000A000000}" name="QuadRank" dataDxfId="16" dataCellStyle="Normal 2"/>
    <tableColumn id="13" xr3:uid="{10011C92-A32E-4605-8584-BDBE5EABC83A}" name="Sort" dataDxfId="15">
      <calculatedColumnFormula array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calculatedColumnFormula>
    </tableColumn>
    <tableColumn id="12" xr3:uid="{37C05280-5969-45DA-A219-1C67939DD86E}" name="QuadSort" dataDxfId="14">
      <calculatedColumnFormula array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calculatedColumnFormula>
    </tableColumn>
    <tableColumn id="11" xr3:uid="{FA007AE0-2EB9-42D5-BE56-D34C6032708A}" name="Pick" dataDxfId="13">
      <calculatedColumnFormula>_xlfn.RANK.EQ(Games[[#This Row],[Sort]],Games[Sort],1)</calculatedColumnFormula>
    </tableColumn>
    <tableColumn id="9" xr3:uid="{FE7F021A-A7DE-4DDD-9CB4-33114D9B6A5E}" name="QuadPick" dataDxfId="12">
      <calculatedColumnFormula>IF(ISNUMBER(Games[[#This Row],[QuadRank]]),_xlfn.RANK.EQ(Games[[#This Row],[QuadSort]],Games[QuadSort],1),"")</calculatedColumnFormula>
    </tableColumn>
    <tableColumn id="1" xr3:uid="{E202D478-E193-4757-B123-9D114B30B5E4}" name="Promotions" dataDxfId="11"/>
    <tableColumn id="14" xr3:uid="{02873305-C254-48E4-9E8D-324FD18F7B69}" name="Comments" dataDxfId="1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A00DCA-5FDD-46AE-98FE-ADCF435506EB}" name="Types" displayName="Types" ref="AA23:AF28" totalsRowCount="1" headerRowCellStyle="Normal">
  <autoFilter ref="AA23:AF27" xr:uid="{C8A00DCA-5FDD-46AE-98FE-ADCF435506EB}"/>
  <tableColumns count="6">
    <tableColumn id="1" xr3:uid="{D0C1F639-6CA2-4EE2-B48E-9CAE9BBAB740}" name="Type" totalsRowLabel="Total" dataDxfId="9" totalsRowDxfId="8"/>
    <tableColumn id="2" xr3:uid="{D785142C-C4FC-418F-A0C8-7745E2B467E4}" name="Price" dataDxfId="7" dataCellStyle="Currency" totalsRowCellStyle="Currency"/>
    <tableColumn id="3" xr3:uid="{F14FCFFA-E6B3-465B-BEC9-D1AFB23F6C0D}" name="Pairs"/>
    <tableColumn id="4" xr3:uid="{77C90207-35F5-4AB4-B4C2-39C4FABA9268}" name="Games" totalsRowFunction="sum" dataDxfId="6">
      <calculatedColumnFormula>COUNTIF(Games[Type],Types[[#This Row],[Type]])</calculatedColumnFormula>
    </tableColumn>
    <tableColumn id="5" xr3:uid="{B143CB75-DF50-4323-85C5-10526A2643E2}" name="Tickets" totalsRowFunction="sum" dataDxfId="5">
      <calculatedColumnFormula>Types[[#This Row],[Games]]*Types[[#This Row],[Pairs]]*2</calculatedColumnFormula>
    </tableColumn>
    <tableColumn id="6" xr3:uid="{1050CF1C-249D-4CE7-A143-304C5582C5BA}" name="Cost" totalsRowFunction="sum" dataDxfId="4">
      <calculatedColumnFormula>Types[[#This Row],[Tickets]]*Types[[#This Row],[Price]]</calculatedColumnFormula>
    </tableColumn>
  </tableColumns>
  <tableStyleInfo name="TableStyleLight9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C161206-53B6-44AE-82B4-69A498D363E1}" name="Names" displayName="Names" ref="AA1:AE17" totalsRowCount="1" headerRowDxfId="3">
  <autoFilter ref="AA1:AE16" xr:uid="{DC161206-53B6-44AE-82B4-69A498D363E1}"/>
  <tableColumns count="5">
    <tableColumn id="1" xr3:uid="{FC3D4716-65C5-415A-A389-9EBDE43EF28B}" name="FullName" totalsRowLabel="Total"/>
    <tableColumn id="2" xr3:uid="{7A1B9906-F505-4867-8E26-33C192D58539}" name="Pairs" totalsRowFunction="sum"/>
    <tableColumn id="3" xr3:uid="{FED78B00-0211-43D6-A3DB-EDCC3C9A2361}" name="Quads" totalsRowFunction="sum"/>
    <tableColumn id="4" xr3:uid="{3472311E-1A5B-42C2-BCEA-6D98711B56F3}" name="Games" totalsRowFunction="sum" dataDxfId="2">
      <calculatedColumnFormula>Names[[#This Row],[Pairs]]+Names[[#This Row],[Quads]]</calculatedColumnFormula>
    </tableColumn>
    <tableColumn id="5" xr3:uid="{352D40E4-D431-4ADD-8BC1-66192541A0D2}" name="Tickets" totalsRowFunction="sum" dataDxfId="1">
      <calculatedColumnFormula>Names[[#This Row],[Pairs]]*2 + Names[[#This Row],[Quads]]*4</calculatedColumnFormula>
    </tableColumn>
  </tableColumns>
  <tableStyleInfo name="TableStyleLight9"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F82"/>
  <sheetViews>
    <sheetView tabSelected="1" zoomScale="90" zoomScaleNormal="90" workbookViewId="0">
      <pane ySplit="1" topLeftCell="A14" activePane="bottomLeft" state="frozen"/>
      <selection pane="bottomLeft" activeCell="D45" sqref="D45"/>
    </sheetView>
  </sheetViews>
  <sheetFormatPr defaultRowHeight="12.5" x14ac:dyDescent="0.25"/>
  <cols>
    <col min="1" max="1" width="4.26953125" customWidth="1"/>
    <col min="2" max="2" width="4" customWidth="1"/>
    <col min="3" max="3" width="7.453125" customWidth="1"/>
    <col min="4" max="4" width="2.81640625" customWidth="1"/>
    <col min="5" max="5" width="6.453125" customWidth="1"/>
    <col min="6" max="6" width="3.1796875" customWidth="1"/>
    <col min="7" max="8" width="4.26953125" customWidth="1"/>
    <col min="9" max="9" width="18.453125" customWidth="1"/>
    <col min="10" max="10" width="7.81640625" style="4" bestFit="1" customWidth="1"/>
    <col min="11" max="11" width="8.7265625" style="4" bestFit="1" customWidth="1"/>
    <col min="12" max="12" width="9.1796875" style="4" bestFit="1" customWidth="1"/>
    <col min="13" max="13" width="14.7265625" style="2" bestFit="1" customWidth="1"/>
    <col min="14" max="14" width="6.1796875" customWidth="1"/>
    <col min="15" max="16" width="7.26953125" hidden="1" customWidth="1"/>
    <col min="17" max="17" width="10" bestFit="1" customWidth="1"/>
    <col min="18" max="18" width="7.1796875" customWidth="1"/>
    <col min="19" max="19" width="15.81640625" customWidth="1"/>
    <col min="20" max="20" width="15.81640625" hidden="1" customWidth="1"/>
    <col min="21" max="21" width="9.1796875" hidden="1" customWidth="1"/>
    <col min="22" max="22" width="10.1796875" bestFit="1" customWidth="1"/>
    <col min="23" max="23" width="7.26953125" customWidth="1"/>
    <col min="24" max="24" width="88.54296875" bestFit="1" customWidth="1"/>
    <col min="25" max="25" width="22.7265625" customWidth="1"/>
    <col min="26" max="26" width="3" customWidth="1"/>
    <col min="27" max="27" width="14" bestFit="1" customWidth="1"/>
    <col min="28" max="28" width="7.1796875" customWidth="1"/>
    <col min="29" max="29" width="8.1796875" customWidth="1"/>
    <col min="30" max="30" width="10.26953125" bestFit="1" customWidth="1"/>
    <col min="32" max="32" width="11" bestFit="1" customWidth="1"/>
  </cols>
  <sheetData>
    <row r="1" spans="1:31" s="1" customFormat="1" ht="31" x14ac:dyDescent="0.3">
      <c r="B1"/>
      <c r="C1"/>
      <c r="D1"/>
      <c r="E1"/>
      <c r="F1"/>
      <c r="G1"/>
      <c r="J1" s="16" t="s">
        <v>2</v>
      </c>
      <c r="K1" s="17" t="s">
        <v>0</v>
      </c>
      <c r="L1" s="18" t="s">
        <v>1</v>
      </c>
      <c r="M1" s="16" t="s">
        <v>4</v>
      </c>
      <c r="N1" s="18" t="s">
        <v>86</v>
      </c>
      <c r="O1" s="18" t="s">
        <v>88</v>
      </c>
      <c r="P1" s="18" t="s">
        <v>95</v>
      </c>
      <c r="Q1" s="18" t="s">
        <v>96</v>
      </c>
      <c r="R1" s="19" t="s">
        <v>3</v>
      </c>
      <c r="S1" s="19" t="s">
        <v>87</v>
      </c>
      <c r="T1" s="18" t="s">
        <v>75</v>
      </c>
      <c r="U1" s="18" t="s">
        <v>94</v>
      </c>
      <c r="V1" s="18" t="s">
        <v>89</v>
      </c>
      <c r="W1" s="18" t="s">
        <v>90</v>
      </c>
      <c r="X1" s="16" t="s">
        <v>92</v>
      </c>
      <c r="Y1" s="16" t="s">
        <v>93</v>
      </c>
      <c r="AA1" s="16" t="s">
        <v>91</v>
      </c>
      <c r="AB1" s="16" t="s">
        <v>76</v>
      </c>
      <c r="AC1" s="16" t="s">
        <v>77</v>
      </c>
      <c r="AD1" s="16" t="s">
        <v>82</v>
      </c>
      <c r="AE1" s="16" t="s">
        <v>83</v>
      </c>
    </row>
    <row r="2" spans="1:31" x14ac:dyDescent="0.25">
      <c r="J2" s="7" t="str">
        <f t="shared" ref="J2:J33" si="0">TEXT(K2, "ddd")</f>
        <v>Thu</v>
      </c>
      <c r="K2" s="11">
        <v>46107</v>
      </c>
      <c r="L2" s="10">
        <v>0.79861111111111116</v>
      </c>
      <c r="M2" t="s">
        <v>5</v>
      </c>
      <c r="N2" t="s">
        <v>69</v>
      </c>
      <c r="O2" s="14">
        <f>_xlfn.XLOOKUP(Games[[#This Row],[Type]],Types[Type],Types[Price])</f>
        <v>90</v>
      </c>
      <c r="P2">
        <f>_xlfn.XLOOKUP(Games[[#This Row],[Type]],Types[Type],Types[Pairs])</f>
        <v>2</v>
      </c>
      <c r="Q2" t="str">
        <f>TEXT(Games[[#This Row],[Price]],"$#,##0.00")&amp;" ("&amp;Games[[#This Row],[GamePairs]]*2&amp;")"</f>
        <v>$90.00 (4)</v>
      </c>
      <c r="R2" s="23">
        <v>81</v>
      </c>
      <c r="S2" s="15"/>
      <c r="T2" cm="1">
        <f t="array" aca="1" ref="T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81.000002599747532</v>
      </c>
      <c r="U2" cm="1">
        <f t="array" aca="1" ref="U2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2.5997475344585639E-6</v>
      </c>
      <c r="V2">
        <f ca="1">_xlfn.RANK.EQ(Games[[#This Row],[Sort]],Games[Sort],1)</f>
        <v>81</v>
      </c>
      <c r="W2" t="str">
        <f>IF(ISNUMBER(Games[[#This Row],[QuadRank]]),_xlfn.RANK.EQ(Games[[#This Row],[QuadSort]],Games[QuadSort],1),"")</f>
        <v/>
      </c>
      <c r="X2" s="5" t="s">
        <v>38</v>
      </c>
      <c r="Y2" s="5"/>
      <c r="AA2" s="20" t="s">
        <v>79</v>
      </c>
      <c r="AB2" s="21">
        <v>14</v>
      </c>
      <c r="AC2" s="21">
        <v>1</v>
      </c>
      <c r="AD2">
        <f>Names[[#This Row],[Pairs]]+Names[[#This Row],[Quads]]</f>
        <v>15</v>
      </c>
      <c r="AE2">
        <f>Names[[#This Row],[Pairs]]*2 + Names[[#This Row],[Quads]]*4</f>
        <v>32</v>
      </c>
    </row>
    <row r="3" spans="1:31" x14ac:dyDescent="0.25">
      <c r="J3" s="7" t="str">
        <f t="shared" si="0"/>
        <v>Fri</v>
      </c>
      <c r="K3" s="11">
        <v>46108</v>
      </c>
      <c r="L3" s="10">
        <v>0.78125</v>
      </c>
      <c r="M3" t="s">
        <v>5</v>
      </c>
      <c r="N3" t="s">
        <v>70</v>
      </c>
      <c r="O3" s="14">
        <f>_xlfn.XLOOKUP(Games[[#This Row],[Type]],Types[Type],Types[Price])</f>
        <v>69</v>
      </c>
      <c r="P3">
        <f>_xlfn.XLOOKUP(Games[[#This Row],[Type]],Types[Type],Types[Pairs])</f>
        <v>2</v>
      </c>
      <c r="Q3" t="str">
        <f>TEXT(Games[[#This Row],[Price]],"$#,##0.00")&amp;" ("&amp;Games[[#This Row],[GamePairs]]*2&amp;")"</f>
        <v>$69.00 (4)</v>
      </c>
      <c r="R3" s="23">
        <v>80</v>
      </c>
      <c r="S3" s="15"/>
      <c r="T3" cm="1">
        <f t="array" aca="1" ref="T3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80.000000280913895</v>
      </c>
      <c r="U3" cm="1">
        <f t="array" aca="1" ref="U3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2.8091389111766259E-7</v>
      </c>
      <c r="V3">
        <f ca="1">_xlfn.RANK.EQ(Games[[#This Row],[Sort]],Games[Sort],1)</f>
        <v>80</v>
      </c>
      <c r="W3" t="str">
        <f>IF(ISNUMBER(Games[[#This Row],[QuadRank]]),_xlfn.RANK.EQ(Games[[#This Row],[QuadSort]],Games[QuadSort],1),"")</f>
        <v/>
      </c>
      <c r="X3" s="5" t="s">
        <v>39</v>
      </c>
      <c r="Y3" s="5"/>
      <c r="AA3" s="20" t="s">
        <v>99</v>
      </c>
      <c r="AB3" s="21">
        <v>0</v>
      </c>
      <c r="AC3" s="21">
        <v>9</v>
      </c>
      <c r="AD3">
        <f>Names[[#This Row],[Pairs]]+Names[[#This Row],[Quads]]</f>
        <v>9</v>
      </c>
      <c r="AE3">
        <f>Names[[#This Row],[Pairs]]*2 + Names[[#This Row],[Quads]]*4</f>
        <v>36</v>
      </c>
    </row>
    <row r="4" spans="1:31" x14ac:dyDescent="0.25">
      <c r="J4" s="7" t="str">
        <f t="shared" si="0"/>
        <v>Sat</v>
      </c>
      <c r="K4" s="11">
        <v>46109</v>
      </c>
      <c r="L4" s="10">
        <v>0.77777777777777779</v>
      </c>
      <c r="M4" t="s">
        <v>5</v>
      </c>
      <c r="N4" t="s">
        <v>70</v>
      </c>
      <c r="O4" s="14">
        <f>_xlfn.XLOOKUP(Games[[#This Row],[Type]],Types[Type],Types[Price])</f>
        <v>69</v>
      </c>
      <c r="P4">
        <f>_xlfn.XLOOKUP(Games[[#This Row],[Type]],Types[Type],Types[Pairs])</f>
        <v>2</v>
      </c>
      <c r="Q4" t="str">
        <f>TEXT(Games[[#This Row],[Price]],"$#,##0.00")&amp;" ("&amp;Games[[#This Row],[GamePairs]]*2&amp;")"</f>
        <v>$69.00 (4)</v>
      </c>
      <c r="R4" s="23">
        <v>79</v>
      </c>
      <c r="S4" s="15"/>
      <c r="T4" cm="1">
        <f t="array" aca="1" ref="T4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79.000001005898781</v>
      </c>
      <c r="U4" cm="1">
        <f t="array" aca="1" ref="U4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1.0058987809166516E-6</v>
      </c>
      <c r="V4">
        <f ca="1">_xlfn.RANK.EQ(Games[[#This Row],[Sort]],Games[Sort],1)</f>
        <v>79</v>
      </c>
      <c r="W4" t="str">
        <f>IF(ISNUMBER(Games[[#This Row],[QuadRank]]),_xlfn.RANK.EQ(Games[[#This Row],[QuadSort]],Games[QuadSort],1),"")</f>
        <v/>
      </c>
      <c r="X4" s="5" t="s">
        <v>40</v>
      </c>
      <c r="Y4" s="5"/>
      <c r="AA4" s="20" t="s">
        <v>100</v>
      </c>
      <c r="AB4" s="21">
        <v>5</v>
      </c>
      <c r="AC4" s="21">
        <v>3</v>
      </c>
      <c r="AD4">
        <f>Names[[#This Row],[Pairs]]+Names[[#This Row],[Quads]]</f>
        <v>8</v>
      </c>
      <c r="AE4">
        <f>Names[[#This Row],[Pairs]]*2 + Names[[#This Row],[Quads]]*4</f>
        <v>22</v>
      </c>
    </row>
    <row r="5" spans="1:31" x14ac:dyDescent="0.25">
      <c r="J5" s="7" t="str">
        <f t="shared" si="0"/>
        <v>Sun</v>
      </c>
      <c r="K5" s="11">
        <v>46110</v>
      </c>
      <c r="L5" s="10">
        <v>0.68055555555555558</v>
      </c>
      <c r="M5" t="s">
        <v>5</v>
      </c>
      <c r="N5" t="s">
        <v>70</v>
      </c>
      <c r="O5" s="14">
        <f>_xlfn.XLOOKUP(Games[[#This Row],[Type]],Types[Type],Types[Price])</f>
        <v>69</v>
      </c>
      <c r="P5">
        <f>_xlfn.XLOOKUP(Games[[#This Row],[Type]],Types[Type],Types[Pairs])</f>
        <v>2</v>
      </c>
      <c r="Q5" t="str">
        <f>TEXT(Games[[#This Row],[Price]],"$#,##0.00")&amp;" ("&amp;Games[[#This Row],[GamePairs]]*2&amp;")"</f>
        <v>$69.00 (4)</v>
      </c>
      <c r="R5" s="23">
        <v>78</v>
      </c>
      <c r="S5" s="15"/>
      <c r="T5" cm="1">
        <f t="array" aca="1" ref="T5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78.000000311218301</v>
      </c>
      <c r="U5" cm="1">
        <f t="array" aca="1" ref="U5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3.1121830353896096E-7</v>
      </c>
      <c r="V5">
        <f ca="1">_xlfn.RANK.EQ(Games[[#This Row],[Sort]],Games[Sort],1)</f>
        <v>78</v>
      </c>
      <c r="W5" t="str">
        <f>IF(ISNUMBER(Games[[#This Row],[QuadRank]]),_xlfn.RANK.EQ(Games[[#This Row],[QuadSort]],Games[QuadSort],1),"")</f>
        <v/>
      </c>
      <c r="X5" s="5"/>
      <c r="Y5" s="5"/>
      <c r="AA5" t="s">
        <v>80</v>
      </c>
      <c r="AB5">
        <v>22</v>
      </c>
      <c r="AC5">
        <v>0</v>
      </c>
      <c r="AD5">
        <f>Names[[#This Row],[Pairs]]+Names[[#This Row],[Quads]]</f>
        <v>22</v>
      </c>
      <c r="AE5">
        <f>Names[[#This Row],[Pairs]]*2 + Names[[#This Row],[Quads]]*4</f>
        <v>44</v>
      </c>
    </row>
    <row r="6" spans="1:31" ht="13" x14ac:dyDescent="0.3">
      <c r="A6" s="1"/>
      <c r="B6" s="1"/>
      <c r="C6" s="1"/>
      <c r="D6" s="1"/>
      <c r="E6" s="1"/>
      <c r="F6" s="1"/>
      <c r="G6" s="1"/>
      <c r="H6" s="1"/>
      <c r="I6" s="1"/>
      <c r="J6" s="7" t="str">
        <f t="shared" si="0"/>
        <v>Mon</v>
      </c>
      <c r="K6" s="11">
        <v>46111</v>
      </c>
      <c r="L6" s="10">
        <v>0.77777777777777779</v>
      </c>
      <c r="M6" t="s">
        <v>6</v>
      </c>
      <c r="N6" t="s">
        <v>71</v>
      </c>
      <c r="O6" s="14">
        <f>_xlfn.XLOOKUP(Games[[#This Row],[Type]],Types[Type],Types[Price])</f>
        <v>45</v>
      </c>
      <c r="P6">
        <f>_xlfn.XLOOKUP(Games[[#This Row],[Type]],Types[Type],Types[Pairs])</f>
        <v>2</v>
      </c>
      <c r="Q6" t="str">
        <f>TEXT(Games[[#This Row],[Price]],"$#,##0.00")&amp;" ("&amp;Games[[#This Row],[GamePairs]]*2&amp;")"</f>
        <v>$45.00 (4)</v>
      </c>
      <c r="R6" s="23">
        <v>77</v>
      </c>
      <c r="S6" s="15"/>
      <c r="T6" cm="1">
        <f t="array" aca="1" ref="T6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77.000001517986135</v>
      </c>
      <c r="U6" cm="1">
        <f t="array" aca="1" ref="U6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1.5179861419872471E-6</v>
      </c>
      <c r="V6">
        <f ca="1">_xlfn.RANK.EQ(Games[[#This Row],[Sort]],Games[Sort],1)</f>
        <v>77</v>
      </c>
      <c r="W6" t="str">
        <f>IF(ISNUMBER(Games[[#This Row],[QuadRank]]),_xlfn.RANK.EQ(Games[[#This Row],[QuadSort]],Games[QuadSort],1),"")</f>
        <v/>
      </c>
      <c r="X6" s="5"/>
      <c r="Y6" s="5"/>
      <c r="AA6" t="s">
        <v>101</v>
      </c>
      <c r="AB6">
        <v>8</v>
      </c>
      <c r="AC6">
        <v>2</v>
      </c>
      <c r="AD6">
        <f>Names[[#This Row],[Pairs]]+Names[[#This Row],[Quads]]</f>
        <v>10</v>
      </c>
      <c r="AE6">
        <f>Names[[#This Row],[Pairs]]*2 + Names[[#This Row],[Quads]]*4</f>
        <v>24</v>
      </c>
    </row>
    <row r="7" spans="1:31" x14ac:dyDescent="0.25">
      <c r="B7" s="8"/>
      <c r="C7" s="8"/>
      <c r="D7" s="8"/>
      <c r="E7" s="8"/>
      <c r="F7" s="8"/>
      <c r="G7" s="6"/>
      <c r="H7" s="6"/>
      <c r="I7" s="6"/>
      <c r="J7" s="7" t="str">
        <f t="shared" si="0"/>
        <v>Tue</v>
      </c>
      <c r="K7" s="11">
        <v>46112</v>
      </c>
      <c r="L7" s="10">
        <v>0.77777777777777779</v>
      </c>
      <c r="M7" t="s">
        <v>6</v>
      </c>
      <c r="N7" t="s">
        <v>71</v>
      </c>
      <c r="O7" s="14">
        <f>_xlfn.XLOOKUP(Games[[#This Row],[Type]],Types[Type],Types[Price])</f>
        <v>45</v>
      </c>
      <c r="P7">
        <f>_xlfn.XLOOKUP(Games[[#This Row],[Type]],Types[Type],Types[Pairs])</f>
        <v>2</v>
      </c>
      <c r="Q7" t="str">
        <f>TEXT(Games[[#This Row],[Price]],"$#,##0.00")&amp;" ("&amp;Games[[#This Row],[GamePairs]]*2&amp;")"</f>
        <v>$45.00 (4)</v>
      </c>
      <c r="R7" s="23">
        <v>76</v>
      </c>
      <c r="S7" s="15"/>
      <c r="T7" cm="1">
        <f t="array" aca="1" ref="T7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76.0000019768258</v>
      </c>
      <c r="U7" cm="1">
        <f t="array" aca="1" ref="U7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1.9768258008136326E-6</v>
      </c>
      <c r="V7">
        <f ca="1">_xlfn.RANK.EQ(Games[[#This Row],[Sort]],Games[Sort],1)</f>
        <v>76</v>
      </c>
      <c r="W7" t="str">
        <f>IF(ISNUMBER(Games[[#This Row],[QuadRank]]),_xlfn.RANK.EQ(Games[[#This Row],[QuadSort]],Games[QuadSort],1),"")</f>
        <v/>
      </c>
      <c r="X7" s="5"/>
      <c r="Y7" s="5"/>
      <c r="AA7" t="s">
        <v>102</v>
      </c>
      <c r="AB7">
        <v>6</v>
      </c>
      <c r="AC7">
        <v>3</v>
      </c>
      <c r="AD7">
        <f>Names[[#This Row],[Pairs]]+Names[[#This Row],[Quads]]</f>
        <v>9</v>
      </c>
      <c r="AE7">
        <f>Names[[#This Row],[Pairs]]*2 + Names[[#This Row],[Quads]]*4</f>
        <v>24</v>
      </c>
    </row>
    <row r="8" spans="1:31" x14ac:dyDescent="0.25">
      <c r="B8" s="8"/>
      <c r="C8" s="8"/>
      <c r="D8" s="8"/>
      <c r="E8" s="8"/>
      <c r="F8" s="8"/>
      <c r="G8" s="6"/>
      <c r="H8" s="6"/>
      <c r="I8" s="6"/>
      <c r="J8" s="7" t="str">
        <f t="shared" si="0"/>
        <v>Wed</v>
      </c>
      <c r="K8" s="11">
        <v>46113</v>
      </c>
      <c r="L8" s="10">
        <v>0.54861111111111116</v>
      </c>
      <c r="M8" t="s">
        <v>6</v>
      </c>
      <c r="N8" t="s">
        <v>71</v>
      </c>
      <c r="O8" s="14">
        <f>_xlfn.XLOOKUP(Games[[#This Row],[Type]],Types[Type],Types[Price])</f>
        <v>45</v>
      </c>
      <c r="P8">
        <f>_xlfn.XLOOKUP(Games[[#This Row],[Type]],Types[Type],Types[Pairs])</f>
        <v>2</v>
      </c>
      <c r="Q8" t="str">
        <f>TEXT(Games[[#This Row],[Price]],"$#,##0.00")&amp;" ("&amp;Games[[#This Row],[GamePairs]]*2&amp;")"</f>
        <v>$45.00 (4)</v>
      </c>
      <c r="R8" s="23">
        <v>75</v>
      </c>
      <c r="S8" s="15"/>
      <c r="T8" cm="1">
        <f t="array" aca="1" ref="T8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75.000000952616205</v>
      </c>
      <c r="U8" cm="1">
        <f t="array" aca="1" ref="U8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9.5261619936623798E-7</v>
      </c>
      <c r="V8">
        <f ca="1">_xlfn.RANK.EQ(Games[[#This Row],[Sort]],Games[Sort],1)</f>
        <v>75</v>
      </c>
      <c r="W8" t="str">
        <f>IF(ISNUMBER(Games[[#This Row],[QuadRank]]),_xlfn.RANK.EQ(Games[[#This Row],[QuadSort]],Games[QuadSort],1),"")</f>
        <v/>
      </c>
      <c r="X8" s="5"/>
      <c r="Y8" s="5"/>
      <c r="AA8" t="s">
        <v>103</v>
      </c>
      <c r="AB8">
        <v>1</v>
      </c>
      <c r="AC8">
        <v>4</v>
      </c>
      <c r="AD8">
        <f>Names[[#This Row],[Pairs]]+Names[[#This Row],[Quads]]</f>
        <v>5</v>
      </c>
      <c r="AE8">
        <f>Names[[#This Row],[Pairs]]*2 + Names[[#This Row],[Quads]]*4</f>
        <v>18</v>
      </c>
    </row>
    <row r="9" spans="1:31" x14ac:dyDescent="0.25">
      <c r="B9" s="8"/>
      <c r="C9" s="8"/>
      <c r="D9" s="8"/>
      <c r="E9" s="8"/>
      <c r="F9" s="8"/>
      <c r="G9" s="6"/>
      <c r="H9" s="6"/>
      <c r="I9" s="6"/>
      <c r="J9" s="7" t="str">
        <f t="shared" si="0"/>
        <v>Fri</v>
      </c>
      <c r="K9" s="11">
        <v>46122</v>
      </c>
      <c r="L9" s="10">
        <v>0.77777777777777779</v>
      </c>
      <c r="M9" t="s">
        <v>7</v>
      </c>
      <c r="N9" t="s">
        <v>71</v>
      </c>
      <c r="O9" s="14">
        <f>_xlfn.XLOOKUP(Games[[#This Row],[Type]],Types[Type],Types[Price])</f>
        <v>45</v>
      </c>
      <c r="P9">
        <f>_xlfn.XLOOKUP(Games[[#This Row],[Type]],Types[Type],Types[Pairs])</f>
        <v>2</v>
      </c>
      <c r="Q9" t="str">
        <f>TEXT(Games[[#This Row],[Price]],"$#,##0.00")&amp;" ("&amp;Games[[#This Row],[GamePairs]]*2&amp;")"</f>
        <v>$45.00 (4)</v>
      </c>
      <c r="R9" s="23">
        <v>27</v>
      </c>
      <c r="S9" s="15"/>
      <c r="T9" cm="1">
        <f t="array" aca="1" ref="T9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27.000000680178378</v>
      </c>
      <c r="U9" cm="1">
        <f t="array" aca="1" ref="U9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6.80178377700791E-7</v>
      </c>
      <c r="V9">
        <f ca="1">_xlfn.RANK.EQ(Games[[#This Row],[Sort]],Games[Sort],1)</f>
        <v>27</v>
      </c>
      <c r="W9" t="str">
        <f>IF(ISNUMBER(Games[[#This Row],[QuadRank]]),_xlfn.RANK.EQ(Games[[#This Row],[QuadSort]],Games[QuadSort],1),"")</f>
        <v/>
      </c>
      <c r="X9" s="5" t="s">
        <v>41</v>
      </c>
      <c r="Y9" s="5"/>
      <c r="AA9" t="s">
        <v>104</v>
      </c>
      <c r="AB9">
        <v>6</v>
      </c>
      <c r="AC9">
        <v>2</v>
      </c>
      <c r="AD9">
        <f>Names[[#This Row],[Pairs]]+Names[[#This Row],[Quads]]</f>
        <v>8</v>
      </c>
      <c r="AE9">
        <f>Names[[#This Row],[Pairs]]*2 + Names[[#This Row],[Quads]]*4</f>
        <v>20</v>
      </c>
    </row>
    <row r="10" spans="1:31" x14ac:dyDescent="0.25">
      <c r="B10" s="8"/>
      <c r="C10" s="8"/>
      <c r="D10" s="8"/>
      <c r="E10" s="8"/>
      <c r="F10" s="8"/>
      <c r="G10" s="6"/>
      <c r="H10" s="6"/>
      <c r="I10" s="6"/>
      <c r="J10" s="7" t="str">
        <f t="shared" si="0"/>
        <v>Sat</v>
      </c>
      <c r="K10" s="11">
        <v>46123</v>
      </c>
      <c r="L10" s="10">
        <v>0.77777777777777779</v>
      </c>
      <c r="M10" t="s">
        <v>7</v>
      </c>
      <c r="N10" t="s">
        <v>71</v>
      </c>
      <c r="O10" s="14">
        <f>_xlfn.XLOOKUP(Games[[#This Row],[Type]],Types[Type],Types[Price])</f>
        <v>45</v>
      </c>
      <c r="P10">
        <f>_xlfn.XLOOKUP(Games[[#This Row],[Type]],Types[Type],Types[Pairs])</f>
        <v>2</v>
      </c>
      <c r="Q10" t="str">
        <f>TEXT(Games[[#This Row],[Price]],"$#,##0.00")&amp;" ("&amp;Games[[#This Row],[GamePairs]]*2&amp;")"</f>
        <v>$45.00 (4)</v>
      </c>
      <c r="R10" s="23">
        <v>18</v>
      </c>
      <c r="S10" s="15"/>
      <c r="T10" cm="1">
        <f t="array" aca="1" ref="T10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18.000001139018035</v>
      </c>
      <c r="U10" cm="1">
        <f t="array" aca="1" ref="U10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1.1390180365271764E-6</v>
      </c>
      <c r="V10">
        <f ca="1">_xlfn.RANK.EQ(Games[[#This Row],[Sort]],Games[Sort],1)</f>
        <v>18</v>
      </c>
      <c r="W10" t="str">
        <f>IF(ISNUMBER(Games[[#This Row],[QuadRank]]),_xlfn.RANK.EQ(Games[[#This Row],[QuadSort]],Games[QuadSort],1),"")</f>
        <v/>
      </c>
      <c r="X10" s="5" t="s">
        <v>42</v>
      </c>
      <c r="Y10" s="5"/>
      <c r="AA10" t="s">
        <v>105</v>
      </c>
      <c r="AB10">
        <v>4</v>
      </c>
      <c r="AC10">
        <v>0</v>
      </c>
      <c r="AD10">
        <f>Names[[#This Row],[Pairs]]+Names[[#This Row],[Quads]]</f>
        <v>4</v>
      </c>
      <c r="AE10">
        <f>Names[[#This Row],[Pairs]]*2 + Names[[#This Row],[Quads]]*4</f>
        <v>8</v>
      </c>
    </row>
    <row r="11" spans="1:31" x14ac:dyDescent="0.25">
      <c r="B11" s="8"/>
      <c r="C11" s="8"/>
      <c r="D11" s="8"/>
      <c r="E11" s="8"/>
      <c r="F11" s="8"/>
      <c r="G11" s="6"/>
      <c r="H11" s="6"/>
      <c r="I11" s="6"/>
      <c r="J11" s="7" t="str">
        <f t="shared" si="0"/>
        <v>Sun</v>
      </c>
      <c r="K11" s="11">
        <v>46124</v>
      </c>
      <c r="L11" s="10">
        <v>0.54861111111111116</v>
      </c>
      <c r="M11" t="s">
        <v>7</v>
      </c>
      <c r="N11" t="s">
        <v>71</v>
      </c>
      <c r="O11" s="14">
        <f>_xlfn.XLOOKUP(Games[[#This Row],[Type]],Types[Type],Types[Price])</f>
        <v>45</v>
      </c>
      <c r="P11">
        <f>_xlfn.XLOOKUP(Games[[#This Row],[Type]],Types[Type],Types[Pairs])</f>
        <v>2</v>
      </c>
      <c r="Q11" t="str">
        <f>TEXT(Games[[#This Row],[Price]],"$#,##0.00")&amp;" ("&amp;Games[[#This Row],[GamePairs]]*2&amp;")"</f>
        <v>$45.00 (4)</v>
      </c>
      <c r="R11" s="23">
        <v>17</v>
      </c>
      <c r="S11" s="15"/>
      <c r="T11" cm="1">
        <f t="array" aca="1" ref="T11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17.000000114808437</v>
      </c>
      <c r="U11" cm="1">
        <f t="array" aca="1" ref="U11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1.1480843507978197E-7</v>
      </c>
      <c r="V11">
        <f ca="1">_xlfn.RANK.EQ(Games[[#This Row],[Sort]],Games[Sort],1)</f>
        <v>17</v>
      </c>
      <c r="W11" t="str">
        <f>IF(ISNUMBER(Games[[#This Row],[QuadRank]]),_xlfn.RANK.EQ(Games[[#This Row],[QuadSort]],Games[QuadSort],1),"")</f>
        <v/>
      </c>
      <c r="X11" s="5"/>
      <c r="Y11" s="5"/>
      <c r="AA11" t="s">
        <v>106</v>
      </c>
      <c r="AB11">
        <v>5</v>
      </c>
      <c r="AC11">
        <v>0</v>
      </c>
      <c r="AD11">
        <f>Names[[#This Row],[Pairs]]+Names[[#This Row],[Quads]]</f>
        <v>5</v>
      </c>
      <c r="AE11">
        <f>Names[[#This Row],[Pairs]]*2 + Names[[#This Row],[Quads]]*4</f>
        <v>10</v>
      </c>
    </row>
    <row r="12" spans="1:31" x14ac:dyDescent="0.25">
      <c r="B12" s="8"/>
      <c r="C12" s="8"/>
      <c r="D12" s="8"/>
      <c r="E12" s="8"/>
      <c r="F12" s="8"/>
      <c r="G12" s="6"/>
      <c r="H12" s="6"/>
      <c r="I12" s="6"/>
      <c r="J12" s="7" t="str">
        <f t="shared" si="0"/>
        <v>Mon</v>
      </c>
      <c r="K12" s="11">
        <v>46125</v>
      </c>
      <c r="L12" s="9">
        <v>0.54861111111111116</v>
      </c>
      <c r="M12" t="s">
        <v>7</v>
      </c>
      <c r="N12" t="s">
        <v>70</v>
      </c>
      <c r="O12" s="14">
        <f>_xlfn.XLOOKUP(Games[[#This Row],[Type]],Types[Type],Types[Price])</f>
        <v>69</v>
      </c>
      <c r="P12">
        <f>_xlfn.XLOOKUP(Games[[#This Row],[Type]],Types[Type],Types[Pairs])</f>
        <v>2</v>
      </c>
      <c r="Q12" t="str">
        <f>TEXT(Games[[#This Row],[Price]],"$#,##0.00")&amp;" ("&amp;Games[[#This Row],[GamePairs]]*2&amp;")"</f>
        <v>$69.00 (4)</v>
      </c>
      <c r="R12" s="23">
        <v>34</v>
      </c>
      <c r="S12" s="15"/>
      <c r="T12" cm="1">
        <f t="array" aca="1" ref="T1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34.000000573648094</v>
      </c>
      <c r="U12" cm="1">
        <f t="array" aca="1" ref="U12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5.7364809390616746E-7</v>
      </c>
      <c r="V12">
        <f ca="1">_xlfn.RANK.EQ(Games[[#This Row],[Sort]],Games[Sort],1)</f>
        <v>34</v>
      </c>
      <c r="W12" t="str">
        <f>IF(ISNUMBER(Games[[#This Row],[QuadRank]]),_xlfn.RANK.EQ(Games[[#This Row],[QuadSort]],Games[QuadSort],1),"")</f>
        <v/>
      </c>
      <c r="X12" s="5"/>
      <c r="Y12" s="5"/>
      <c r="AA12" t="s">
        <v>107</v>
      </c>
      <c r="AB12">
        <v>7</v>
      </c>
      <c r="AC12">
        <v>4</v>
      </c>
      <c r="AD12">
        <f>Names[[#This Row],[Pairs]]+Names[[#This Row],[Quads]]</f>
        <v>11</v>
      </c>
      <c r="AE12">
        <f>Names[[#This Row],[Pairs]]*2 + Names[[#This Row],[Quads]]*4</f>
        <v>30</v>
      </c>
    </row>
    <row r="13" spans="1:31" x14ac:dyDescent="0.25">
      <c r="B13" s="8"/>
      <c r="C13" s="8"/>
      <c r="D13" s="8"/>
      <c r="E13" s="8"/>
      <c r="F13" s="8"/>
      <c r="G13" s="6"/>
      <c r="H13" s="6"/>
      <c r="I13" s="6"/>
      <c r="J13" s="7" t="str">
        <f t="shared" si="0"/>
        <v>Fri</v>
      </c>
      <c r="K13" s="11">
        <v>46129</v>
      </c>
      <c r="L13" s="9">
        <v>0.77777777777777779</v>
      </c>
      <c r="M13" t="s">
        <v>8</v>
      </c>
      <c r="N13" t="s">
        <v>70</v>
      </c>
      <c r="O13" s="14">
        <f>_xlfn.XLOOKUP(Games[[#This Row],[Type]],Types[Type],Types[Price])</f>
        <v>69</v>
      </c>
      <c r="P13">
        <f>_xlfn.XLOOKUP(Games[[#This Row],[Type]],Types[Type],Types[Pairs])</f>
        <v>2</v>
      </c>
      <c r="Q13" t="str">
        <f>TEXT(Games[[#This Row],[Price]],"$#,##0.00")&amp;" ("&amp;Games[[#This Row],[GamePairs]]*2&amp;")"</f>
        <v>$69.00 (4)</v>
      </c>
      <c r="R13" s="23">
        <v>74</v>
      </c>
      <c r="S13" s="15"/>
      <c r="T13" cm="1">
        <f t="array" aca="1" ref="T13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74.000001152329958</v>
      </c>
      <c r="U13" cm="1">
        <f t="array" aca="1" ref="U13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1.1523299620882289E-6</v>
      </c>
      <c r="V13">
        <f ca="1">_xlfn.RANK.EQ(Games[[#This Row],[Sort]],Games[Sort],1)</f>
        <v>74</v>
      </c>
      <c r="W13" t="str">
        <f>IF(ISNUMBER(Games[[#This Row],[QuadRank]]),_xlfn.RANK.EQ(Games[[#This Row],[QuadSort]],Games[QuadSort],1),"")</f>
        <v/>
      </c>
      <c r="X13" s="5" t="s">
        <v>43</v>
      </c>
      <c r="Y13" s="5"/>
      <c r="AA13" t="s">
        <v>108</v>
      </c>
      <c r="AB13">
        <v>5</v>
      </c>
      <c r="AC13">
        <v>3</v>
      </c>
      <c r="AD13">
        <f>Names[[#This Row],[Pairs]]+Names[[#This Row],[Quads]]</f>
        <v>8</v>
      </c>
      <c r="AE13">
        <f>Names[[#This Row],[Pairs]]*2 + Names[[#This Row],[Quads]]*4</f>
        <v>22</v>
      </c>
    </row>
    <row r="14" spans="1:31" x14ac:dyDescent="0.25">
      <c r="B14" s="8"/>
      <c r="C14" s="8"/>
      <c r="D14" s="8"/>
      <c r="E14" s="8"/>
      <c r="F14" s="8"/>
      <c r="G14" s="6"/>
      <c r="H14" s="6"/>
      <c r="I14" s="6"/>
      <c r="J14" s="7" t="str">
        <f t="shared" si="0"/>
        <v>Sat</v>
      </c>
      <c r="K14" s="11">
        <v>46130</v>
      </c>
      <c r="L14" s="9">
        <v>0.67708333333333337</v>
      </c>
      <c r="M14" t="s">
        <v>8</v>
      </c>
      <c r="N14" t="s">
        <v>70</v>
      </c>
      <c r="O14" s="14">
        <f>_xlfn.XLOOKUP(Games[[#This Row],[Type]],Types[Type],Types[Price])</f>
        <v>69</v>
      </c>
      <c r="P14">
        <f>_xlfn.XLOOKUP(Games[[#This Row],[Type]],Types[Type],Types[Pairs])</f>
        <v>2</v>
      </c>
      <c r="Q14" t="str">
        <f>TEXT(Games[[#This Row],[Price]],"$#,##0.00")&amp;" ("&amp;Games[[#This Row],[GamePairs]]*2&amp;")"</f>
        <v>$69.00 (4)</v>
      </c>
      <c r="R14" s="23">
        <v>73</v>
      </c>
      <c r="S14" s="15"/>
      <c r="T14" cm="1">
        <f t="array" aca="1" ref="T14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73.00000089943704</v>
      </c>
      <c r="U14" cm="1">
        <f t="array" aca="1" ref="U14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8.994370456529807E-7</v>
      </c>
      <c r="V14">
        <f ca="1">_xlfn.RANK.EQ(Games[[#This Row],[Sort]],Games[Sort],1)</f>
        <v>73</v>
      </c>
      <c r="W14" t="str">
        <f>IF(ISNUMBER(Games[[#This Row],[QuadRank]]),_xlfn.RANK.EQ(Games[[#This Row],[QuadSort]],Games[QuadSort],1),"")</f>
        <v/>
      </c>
      <c r="X14" s="5" t="s">
        <v>44</v>
      </c>
      <c r="Y14" s="5"/>
      <c r="AA14" t="s">
        <v>78</v>
      </c>
      <c r="AB14">
        <v>11</v>
      </c>
      <c r="AC14">
        <v>3</v>
      </c>
      <c r="AD14">
        <f>Names[[#This Row],[Pairs]]+Names[[#This Row],[Quads]]</f>
        <v>14</v>
      </c>
      <c r="AE14">
        <f>Names[[#This Row],[Pairs]]*2 + Names[[#This Row],[Quads]]*4</f>
        <v>34</v>
      </c>
    </row>
    <row r="15" spans="1:31" x14ac:dyDescent="0.25">
      <c r="B15" s="8"/>
      <c r="C15" s="8"/>
      <c r="D15" s="8"/>
      <c r="E15" s="8"/>
      <c r="F15" s="8"/>
      <c r="G15" s="6"/>
      <c r="H15" s="6"/>
      <c r="I15" s="6"/>
      <c r="J15" s="7" t="str">
        <f t="shared" si="0"/>
        <v>Sun</v>
      </c>
      <c r="K15" s="11">
        <v>46131</v>
      </c>
      <c r="L15" s="9">
        <v>0.54861111111111116</v>
      </c>
      <c r="M15" t="s">
        <v>8</v>
      </c>
      <c r="N15" t="s">
        <v>70</v>
      </c>
      <c r="O15" s="14">
        <f>_xlfn.XLOOKUP(Games[[#This Row],[Type]],Types[Type],Types[Price])</f>
        <v>69</v>
      </c>
      <c r="P15">
        <f>_xlfn.XLOOKUP(Games[[#This Row],[Type]],Types[Type],Types[Pairs])</f>
        <v>2</v>
      </c>
      <c r="Q15" t="str">
        <f>TEXT(Games[[#This Row],[Price]],"$#,##0.00")&amp;" ("&amp;Games[[#This Row],[GamePairs]]*2&amp;")"</f>
        <v>$69.00 (4)</v>
      </c>
      <c r="R15" s="23">
        <v>72</v>
      </c>
      <c r="S15" s="15"/>
      <c r="T15" cm="1">
        <f t="array" aca="1" ref="T15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72.000000181368065</v>
      </c>
      <c r="U15" cm="1">
        <f t="array" aca="1" ref="U15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1.8136806288504437E-7</v>
      </c>
      <c r="V15">
        <f ca="1">_xlfn.RANK.EQ(Games[[#This Row],[Sort]],Games[Sort],1)</f>
        <v>72</v>
      </c>
      <c r="W15" t="str">
        <f>IF(ISNUMBER(Games[[#This Row],[QuadRank]]),_xlfn.RANK.EQ(Games[[#This Row],[QuadSort]],Games[QuadSort],1),"")</f>
        <v/>
      </c>
      <c r="X15" s="5" t="s">
        <v>45</v>
      </c>
      <c r="Y15" s="5"/>
      <c r="AD15">
        <f>Names[[#This Row],[Pairs]]+Names[[#This Row],[Quads]]</f>
        <v>0</v>
      </c>
      <c r="AE15">
        <f>Names[[#This Row],[Pairs]]*2 + Names[[#This Row],[Quads]]*4</f>
        <v>0</v>
      </c>
    </row>
    <row r="16" spans="1:31" x14ac:dyDescent="0.25">
      <c r="J16" s="7" t="str">
        <f t="shared" si="0"/>
        <v>Mon</v>
      </c>
      <c r="K16" s="11">
        <v>46132</v>
      </c>
      <c r="L16" s="9">
        <v>0.77777777777777779</v>
      </c>
      <c r="M16" t="s">
        <v>9</v>
      </c>
      <c r="N16" t="s">
        <v>70</v>
      </c>
      <c r="O16" s="14">
        <f>_xlfn.XLOOKUP(Games[[#This Row],[Type]],Types[Type],Types[Price])</f>
        <v>69</v>
      </c>
      <c r="P16">
        <f>_xlfn.XLOOKUP(Games[[#This Row],[Type]],Types[Type],Types[Pairs])</f>
        <v>2</v>
      </c>
      <c r="Q16" t="str">
        <f>TEXT(Games[[#This Row],[Price]],"$#,##0.00")&amp;" ("&amp;Games[[#This Row],[GamePairs]]*2&amp;")"</f>
        <v>$69.00 (4)</v>
      </c>
      <c r="R16" s="23">
        <v>71</v>
      </c>
      <c r="S16" s="15"/>
      <c r="T16" cm="1">
        <f t="array" aca="1" ref="T16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71.000002123256976</v>
      </c>
      <c r="U16" cm="1">
        <f t="array" aca="1" ref="U16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2.1232569819852096E-6</v>
      </c>
      <c r="V16">
        <f ca="1">_xlfn.RANK.EQ(Games[[#This Row],[Sort]],Games[Sort],1)</f>
        <v>71</v>
      </c>
      <c r="W16" t="str">
        <f>IF(ISNUMBER(Games[[#This Row],[QuadRank]]),_xlfn.RANK.EQ(Games[[#This Row],[QuadSort]],Games[QuadSort],1),"")</f>
        <v/>
      </c>
      <c r="X16" s="5"/>
      <c r="Y16" s="5"/>
      <c r="AD16">
        <f>Names[[#This Row],[Pairs]]+Names[[#This Row],[Quads]]</f>
        <v>0</v>
      </c>
      <c r="AE16">
        <f>Names[[#This Row],[Pairs]]*2 + Names[[#This Row],[Quads]]*4</f>
        <v>0</v>
      </c>
    </row>
    <row r="17" spans="2:32" x14ac:dyDescent="0.25">
      <c r="J17" s="7" t="str">
        <f t="shared" si="0"/>
        <v>Tue</v>
      </c>
      <c r="K17" s="11">
        <v>46133</v>
      </c>
      <c r="L17" s="9">
        <v>0.77777777777777779</v>
      </c>
      <c r="M17" t="s">
        <v>9</v>
      </c>
      <c r="N17" t="s">
        <v>70</v>
      </c>
      <c r="O17" s="14">
        <f>_xlfn.XLOOKUP(Games[[#This Row],[Type]],Types[Type],Types[Price])</f>
        <v>69</v>
      </c>
      <c r="P17">
        <f>_xlfn.XLOOKUP(Games[[#This Row],[Type]],Types[Type],Types[Pairs])</f>
        <v>2</v>
      </c>
      <c r="Q17" t="str">
        <f>TEXT(Games[[#This Row],[Price]],"$#,##0.00")&amp;" ("&amp;Games[[#This Row],[GamePairs]]*2&amp;")"</f>
        <v>$69.00 (4)</v>
      </c>
      <c r="R17" s="23">
        <v>70</v>
      </c>
      <c r="S17" s="15"/>
      <c r="T17" cm="1">
        <f t="array" aca="1" ref="T17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70.000002582096641</v>
      </c>
      <c r="U17" cm="1">
        <f t="array" aca="1" ref="U17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2.5820966408115951E-6</v>
      </c>
      <c r="V17">
        <f ca="1">_xlfn.RANK.EQ(Games[[#This Row],[Sort]],Games[Sort],1)</f>
        <v>70</v>
      </c>
      <c r="W17" t="str">
        <f>IF(ISNUMBER(Games[[#This Row],[QuadRank]]),_xlfn.RANK.EQ(Games[[#This Row],[QuadSort]],Games[QuadSort],1),"")</f>
        <v/>
      </c>
      <c r="X17" s="5"/>
      <c r="Y17" s="5"/>
      <c r="AA17" t="s">
        <v>81</v>
      </c>
      <c r="AB17">
        <f>SUBTOTAL(109,Names[Pairs])</f>
        <v>94</v>
      </c>
      <c r="AC17">
        <f>SUBTOTAL(109,Names[Quads])</f>
        <v>34</v>
      </c>
      <c r="AD17">
        <f>SUBTOTAL(109,Names[Games])</f>
        <v>128</v>
      </c>
      <c r="AE17">
        <f>SUBTOTAL(109,Names[Tickets])</f>
        <v>324</v>
      </c>
    </row>
    <row r="18" spans="2:32" ht="13" x14ac:dyDescent="0.3">
      <c r="J18" s="7" t="str">
        <f t="shared" si="0"/>
        <v>Wed</v>
      </c>
      <c r="K18" s="11">
        <v>46134</v>
      </c>
      <c r="L18" s="9">
        <v>0.54861111111111116</v>
      </c>
      <c r="M18" t="s">
        <v>9</v>
      </c>
      <c r="N18" t="s">
        <v>71</v>
      </c>
      <c r="O18" s="14">
        <f>_xlfn.XLOOKUP(Games[[#This Row],[Type]],Types[Type],Types[Price])</f>
        <v>45</v>
      </c>
      <c r="P18">
        <f>_xlfn.XLOOKUP(Games[[#This Row],[Type]],Types[Type],Types[Pairs])</f>
        <v>2</v>
      </c>
      <c r="Q18" t="str">
        <f>TEXT(Games[[#This Row],[Price]],"$#,##0.00")&amp;" ("&amp;Games[[#This Row],[GamePairs]]*2&amp;")"</f>
        <v>$45.00 (4)</v>
      </c>
      <c r="R18" s="23">
        <v>69</v>
      </c>
      <c r="S18" s="15"/>
      <c r="T18" cm="1">
        <f t="array" aca="1" ref="T18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69.000001557887046</v>
      </c>
      <c r="U18" cm="1">
        <f t="array" aca="1" ref="U18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1.5578870393642007E-6</v>
      </c>
      <c r="V18">
        <f ca="1">_xlfn.RANK.EQ(Games[[#This Row],[Sort]],Games[Sort],1)</f>
        <v>69</v>
      </c>
      <c r="W18" t="str">
        <f>IF(ISNUMBER(Games[[#This Row],[QuadRank]]),_xlfn.RANK.EQ(Games[[#This Row],[QuadSort]],Games[QuadSort],1),"")</f>
        <v/>
      </c>
      <c r="X18" s="5"/>
      <c r="Y18" s="5"/>
      <c r="AC18" t="s">
        <v>85</v>
      </c>
      <c r="AE18" s="1">
        <f>SUM(Games[GamePairs]) - Names[[#Totals],[Tickets]]/2</f>
        <v>0</v>
      </c>
    </row>
    <row r="19" spans="2:32" x14ac:dyDescent="0.25">
      <c r="J19" s="7" t="str">
        <f t="shared" si="0"/>
        <v>Fri</v>
      </c>
      <c r="K19" s="11">
        <v>46143</v>
      </c>
      <c r="L19" s="9">
        <v>0.78125</v>
      </c>
      <c r="M19" t="s">
        <v>10</v>
      </c>
      <c r="N19" t="s">
        <v>71</v>
      </c>
      <c r="O19" s="14">
        <f>_xlfn.XLOOKUP(Games[[#This Row],[Type]],Types[Type],Types[Price])</f>
        <v>45</v>
      </c>
      <c r="P19">
        <f>_xlfn.XLOOKUP(Games[[#This Row],[Type]],Types[Type],Types[Pairs])</f>
        <v>2</v>
      </c>
      <c r="Q19" t="str">
        <f>TEXT(Games[[#This Row],[Price]],"$#,##0.00")&amp;" ("&amp;Games[[#This Row],[GamePairs]]*2&amp;")"</f>
        <v>$45.00 (4)</v>
      </c>
      <c r="R19" s="23">
        <v>26</v>
      </c>
      <c r="S19" s="15"/>
      <c r="T19" cm="1">
        <f t="array" aca="1" ref="T19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26.000001030385654</v>
      </c>
      <c r="U19" cm="1">
        <f t="array" aca="1" ref="U19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1.0303856537052213E-6</v>
      </c>
      <c r="V19">
        <f ca="1">_xlfn.RANK.EQ(Games[[#This Row],[Sort]],Games[Sort],1)</f>
        <v>26</v>
      </c>
      <c r="W19" t="str">
        <f>IF(ISNUMBER(Games[[#This Row],[QuadRank]]),_xlfn.RANK.EQ(Games[[#This Row],[QuadSort]],Games[QuadSort],1),"")</f>
        <v/>
      </c>
      <c r="X19" s="5" t="s">
        <v>46</v>
      </c>
      <c r="Y19" s="5"/>
      <c r="AC19" s="3" t="s">
        <v>97</v>
      </c>
      <c r="AE19">
        <f>COUNTIF(Games[GamePairs],"&gt;1")-Names[[#Totals],[Quads]]</f>
        <v>47</v>
      </c>
    </row>
    <row r="20" spans="2:32" x14ac:dyDescent="0.25">
      <c r="B20" s="8"/>
      <c r="C20" s="8"/>
      <c r="D20" s="8"/>
      <c r="E20" s="8"/>
      <c r="F20" s="8"/>
      <c r="G20" s="6"/>
      <c r="H20" s="6"/>
      <c r="I20" s="6"/>
      <c r="J20" s="7" t="str">
        <f t="shared" si="0"/>
        <v>Sat</v>
      </c>
      <c r="K20" s="11">
        <v>46144</v>
      </c>
      <c r="L20" s="9">
        <v>0.77777777777777779</v>
      </c>
      <c r="M20" t="s">
        <v>10</v>
      </c>
      <c r="N20" t="s">
        <v>69</v>
      </c>
      <c r="O20" s="14">
        <f>_xlfn.XLOOKUP(Games[[#This Row],[Type]],Types[Type],Types[Price])</f>
        <v>90</v>
      </c>
      <c r="P20">
        <f>_xlfn.XLOOKUP(Games[[#This Row],[Type]],Types[Type],Types[Pairs])</f>
        <v>2</v>
      </c>
      <c r="Q20" t="str">
        <f>TEXT(Games[[#This Row],[Price]],"$#,##0.00")&amp;" ("&amp;Games[[#This Row],[GamePairs]]*2&amp;")"</f>
        <v>$90.00 (4)</v>
      </c>
      <c r="R20" s="23">
        <v>16</v>
      </c>
      <c r="S20" s="15"/>
      <c r="T20" cm="1">
        <f t="array" aca="1" ref="T20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16.000001744288877</v>
      </c>
      <c r="U20" cm="1">
        <f t="array" aca="1" ref="U20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1.7442888765251391E-6</v>
      </c>
      <c r="V20">
        <f ca="1">_xlfn.RANK.EQ(Games[[#This Row],[Sort]],Games[Sort],1)</f>
        <v>16</v>
      </c>
      <c r="W20" t="str">
        <f>IF(ISNUMBER(Games[[#This Row],[QuadRank]]),_xlfn.RANK.EQ(Games[[#This Row],[QuadSort]],Games[QuadSort],1),"")</f>
        <v/>
      </c>
      <c r="X20" s="5" t="s">
        <v>47</v>
      </c>
      <c r="Y20" s="5"/>
    </row>
    <row r="21" spans="2:32" x14ac:dyDescent="0.25">
      <c r="B21" s="8"/>
      <c r="C21" s="8"/>
      <c r="D21" s="8"/>
      <c r="E21" s="8"/>
      <c r="F21" s="8"/>
      <c r="G21" s="6"/>
      <c r="H21" s="6"/>
      <c r="I21" s="6"/>
      <c r="J21" s="7" t="str">
        <f t="shared" si="0"/>
        <v>Sun</v>
      </c>
      <c r="K21" s="11">
        <v>46145</v>
      </c>
      <c r="L21" s="9">
        <v>0.54861111111111116</v>
      </c>
      <c r="M21" t="s">
        <v>10</v>
      </c>
      <c r="N21" t="s">
        <v>69</v>
      </c>
      <c r="O21" s="14">
        <f>_xlfn.XLOOKUP(Games[[#This Row],[Type]],Types[Type],Types[Price])</f>
        <v>90</v>
      </c>
      <c r="P21">
        <f>_xlfn.XLOOKUP(Games[[#This Row],[Type]],Types[Type],Types[Pairs])</f>
        <v>2</v>
      </c>
      <c r="Q21" t="str">
        <f>TEXT(Games[[#This Row],[Price]],"$#,##0.00")&amp;" ("&amp;Games[[#This Row],[GamePairs]]*2&amp;")"</f>
        <v>$90.00 (4)</v>
      </c>
      <c r="R21" s="23">
        <v>15</v>
      </c>
      <c r="S21" s="15"/>
      <c r="T21" cm="1">
        <f t="array" aca="1" ref="T21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15.000000720079274</v>
      </c>
      <c r="U21" cm="1">
        <f t="array" aca="1" ref="U21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7.200792750777447E-7</v>
      </c>
      <c r="V21">
        <f ca="1">_xlfn.RANK.EQ(Games[[#This Row],[Sort]],Games[Sort],1)</f>
        <v>15</v>
      </c>
      <c r="W21" t="str">
        <f>IF(ISNUMBER(Games[[#This Row],[QuadRank]]),_xlfn.RANK.EQ(Games[[#This Row],[QuadSort]],Games[QuadSort],1),"")</f>
        <v/>
      </c>
      <c r="X21" s="5" t="s">
        <v>48</v>
      </c>
      <c r="Y21" s="5"/>
    </row>
    <row r="22" spans="2:32" x14ac:dyDescent="0.25">
      <c r="B22" s="8"/>
      <c r="C22" s="8"/>
      <c r="D22" s="8"/>
      <c r="E22" s="8"/>
      <c r="F22" s="8"/>
      <c r="G22" s="6"/>
      <c r="H22" s="6"/>
      <c r="I22" s="6"/>
      <c r="J22" s="7" t="str">
        <f t="shared" si="0"/>
        <v>Mon</v>
      </c>
      <c r="K22" s="11">
        <v>46146</v>
      </c>
      <c r="L22" s="9">
        <v>0.77777777777777779</v>
      </c>
      <c r="M22" t="s">
        <v>11</v>
      </c>
      <c r="N22" t="s">
        <v>69</v>
      </c>
      <c r="O22" s="14">
        <f>_xlfn.XLOOKUP(Games[[#This Row],[Type]],Types[Type],Types[Price])</f>
        <v>90</v>
      </c>
      <c r="P22">
        <f>_xlfn.XLOOKUP(Games[[#This Row],[Type]],Types[Type],Types[Pairs])</f>
        <v>2</v>
      </c>
      <c r="Q22" t="str">
        <f>TEXT(Games[[#This Row],[Price]],"$#,##0.00")&amp;" ("&amp;Games[[#This Row],[GamePairs]]*2&amp;")"</f>
        <v>$90.00 (4)</v>
      </c>
      <c r="R22" s="23">
        <v>51</v>
      </c>
      <c r="S22" s="15"/>
      <c r="T22" cm="1">
        <f t="array" aca="1" ref="T2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51.000002661968196</v>
      </c>
      <c r="U22" cm="1">
        <f t="array" aca="1" ref="U22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2.6619681941779101E-6</v>
      </c>
      <c r="V22">
        <f ca="1">_xlfn.RANK.EQ(Games[[#This Row],[Sort]],Games[Sort],1)</f>
        <v>51</v>
      </c>
      <c r="W22" t="str">
        <f>IF(ISNUMBER(Games[[#This Row],[QuadRank]]),_xlfn.RANK.EQ(Games[[#This Row],[QuadSort]],Games[QuadSort],1),"")</f>
        <v/>
      </c>
      <c r="X22" s="5"/>
      <c r="Y22" s="5"/>
    </row>
    <row r="23" spans="2:32" x14ac:dyDescent="0.25">
      <c r="B23" s="8"/>
      <c r="C23" s="8"/>
      <c r="D23" s="8"/>
      <c r="E23" s="8"/>
      <c r="F23" s="8"/>
      <c r="G23" s="6"/>
      <c r="H23" s="6"/>
      <c r="I23" s="6"/>
      <c r="J23" s="7" t="str">
        <f t="shared" si="0"/>
        <v>Tue</v>
      </c>
      <c r="K23" s="11">
        <v>46147</v>
      </c>
      <c r="L23" s="9">
        <v>0.77777777777777779</v>
      </c>
      <c r="M23" t="s">
        <v>11</v>
      </c>
      <c r="N23" t="s">
        <v>70</v>
      </c>
      <c r="O23" s="14">
        <f>_xlfn.XLOOKUP(Games[[#This Row],[Type]],Types[Type],Types[Price])</f>
        <v>69</v>
      </c>
      <c r="P23">
        <f>_xlfn.XLOOKUP(Games[[#This Row],[Type]],Types[Type],Types[Pairs])</f>
        <v>2</v>
      </c>
      <c r="Q23" t="str">
        <f>TEXT(Games[[#This Row],[Price]],"$#,##0.00")&amp;" ("&amp;Games[[#This Row],[GamePairs]]*2&amp;")"</f>
        <v>$69.00 (4)</v>
      </c>
      <c r="R23" s="23">
        <v>50</v>
      </c>
      <c r="S23" s="15"/>
      <c r="T23" cm="1">
        <f t="array" aca="1" ref="T23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50.000000381081826</v>
      </c>
      <c r="U23" cm="1">
        <f t="array" aca="1" ref="U23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3.8108182560703524E-7</v>
      </c>
      <c r="V23">
        <f ca="1">_xlfn.RANK.EQ(Games[[#This Row],[Sort]],Games[Sort],1)</f>
        <v>50</v>
      </c>
      <c r="W23" t="str">
        <f>IF(ISNUMBER(Games[[#This Row],[QuadRank]]),_xlfn.RANK.EQ(Games[[#This Row],[QuadSort]],Games[QuadSort],1),"")</f>
        <v/>
      </c>
      <c r="X23" s="5"/>
      <c r="Y23" s="5"/>
      <c r="AA23" t="s">
        <v>86</v>
      </c>
      <c r="AB23" t="s">
        <v>88</v>
      </c>
      <c r="AC23" t="s">
        <v>76</v>
      </c>
      <c r="AD23" t="s">
        <v>82</v>
      </c>
      <c r="AE23" t="s">
        <v>83</v>
      </c>
      <c r="AF23" t="s">
        <v>98</v>
      </c>
    </row>
    <row r="24" spans="2:32" x14ac:dyDescent="0.25">
      <c r="B24" s="8"/>
      <c r="C24" s="8"/>
      <c r="D24" s="8"/>
      <c r="E24" s="8"/>
      <c r="F24" s="8"/>
      <c r="G24" s="6"/>
      <c r="H24" s="6"/>
      <c r="I24" s="6"/>
      <c r="J24" s="7" t="str">
        <f t="shared" si="0"/>
        <v>Wed</v>
      </c>
      <c r="K24" s="11">
        <v>46148</v>
      </c>
      <c r="L24" s="9">
        <v>0.54861111111111116</v>
      </c>
      <c r="M24" t="s">
        <v>11</v>
      </c>
      <c r="N24" t="s">
        <v>70</v>
      </c>
      <c r="O24" s="14">
        <f>_xlfn.XLOOKUP(Games[[#This Row],[Type]],Types[Type],Types[Price])</f>
        <v>69</v>
      </c>
      <c r="P24">
        <f>_xlfn.XLOOKUP(Games[[#This Row],[Type]],Types[Type],Types[Pairs])</f>
        <v>2</v>
      </c>
      <c r="Q24" t="str">
        <f>TEXT(Games[[#This Row],[Price]],"$#,##0.00")&amp;" ("&amp;Games[[#This Row],[GamePairs]]*2&amp;")"</f>
        <v>$69.00 (4)</v>
      </c>
      <c r="R24" s="23">
        <v>33</v>
      </c>
      <c r="S24" s="15"/>
      <c r="T24" cm="1">
        <f t="array" aca="1" ref="T24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33.000002096598251</v>
      </c>
      <c r="U24" cm="1">
        <f t="array" aca="1" ref="U24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2.096598251556901E-6</v>
      </c>
      <c r="V24">
        <f ca="1">_xlfn.RANK.EQ(Games[[#This Row],[Sort]],Games[Sort],1)</f>
        <v>33</v>
      </c>
      <c r="W24" t="str">
        <f>IF(ISNUMBER(Games[[#This Row],[QuadRank]]),_xlfn.RANK.EQ(Games[[#This Row],[QuadSort]],Games[QuadSort],1),"")</f>
        <v/>
      </c>
      <c r="X24" s="5"/>
      <c r="Y24" s="5"/>
      <c r="AA24" s="3" t="s">
        <v>69</v>
      </c>
      <c r="AB24" s="14">
        <v>90</v>
      </c>
      <c r="AC24">
        <v>2</v>
      </c>
      <c r="AD24">
        <f>COUNTIF(Games[Type],Types[[#This Row],[Type]])</f>
        <v>22</v>
      </c>
      <c r="AE24">
        <f>Types[[#This Row],[Games]]*Types[[#This Row],[Pairs]]*2</f>
        <v>88</v>
      </c>
      <c r="AF24" s="22">
        <f>Types[[#This Row],[Tickets]]*Types[[#This Row],[Price]]</f>
        <v>7920</v>
      </c>
    </row>
    <row r="25" spans="2:32" x14ac:dyDescent="0.25">
      <c r="B25" s="8"/>
      <c r="C25" s="8"/>
      <c r="D25" s="8"/>
      <c r="E25" s="8"/>
      <c r="F25" s="8"/>
      <c r="G25" s="6"/>
      <c r="H25" s="6"/>
      <c r="I25" s="6"/>
      <c r="J25" s="7" t="str">
        <f t="shared" si="0"/>
        <v>Fri</v>
      </c>
      <c r="K25" s="11">
        <v>46157</v>
      </c>
      <c r="L25" s="9">
        <v>0.77777777777777779</v>
      </c>
      <c r="M25" t="s">
        <v>12</v>
      </c>
      <c r="N25" t="s">
        <v>70</v>
      </c>
      <c r="O25" s="14">
        <f>_xlfn.XLOOKUP(Games[[#This Row],[Type]],Types[Type],Types[Price])</f>
        <v>69</v>
      </c>
      <c r="P25">
        <f>_xlfn.XLOOKUP(Games[[#This Row],[Type]],Types[Type],Types[Pairs])</f>
        <v>2</v>
      </c>
      <c r="Q25" t="str">
        <f>TEXT(Games[[#This Row],[Price]],"$#,##0.00")&amp;" ("&amp;Games[[#This Row],[GamePairs]]*2&amp;")"</f>
        <v>$69.00 (4)</v>
      </c>
      <c r="R25" s="23">
        <v>25</v>
      </c>
      <c r="S25" s="15"/>
      <c r="T25" cm="1">
        <f t="array" aca="1" ref="T25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25.000001824160432</v>
      </c>
      <c r="U25" cm="1">
        <f t="array" aca="1" ref="U25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1.8241604298914541E-6</v>
      </c>
      <c r="V25">
        <f ca="1">_xlfn.RANK.EQ(Games[[#This Row],[Sort]],Games[Sort],1)</f>
        <v>25</v>
      </c>
      <c r="W25" t="str">
        <f>IF(ISNUMBER(Games[[#This Row],[QuadRank]]),_xlfn.RANK.EQ(Games[[#This Row],[QuadSort]],Games[QuadSort],1),"")</f>
        <v/>
      </c>
      <c r="X25" s="5" t="s">
        <v>49</v>
      </c>
      <c r="Y25" s="5"/>
      <c r="AA25" s="3" t="s">
        <v>70</v>
      </c>
      <c r="AB25" s="14">
        <v>69</v>
      </c>
      <c r="AC25">
        <v>2</v>
      </c>
      <c r="AD25">
        <f>COUNTIF(Games[Type],Types[[#This Row],[Type]])</f>
        <v>29</v>
      </c>
      <c r="AE25">
        <f>Types[[#This Row],[Games]]*Types[[#This Row],[Pairs]]*2</f>
        <v>116</v>
      </c>
      <c r="AF25" s="22">
        <f>Types[[#This Row],[Tickets]]*Types[[#This Row],[Price]]</f>
        <v>8004</v>
      </c>
    </row>
    <row r="26" spans="2:32" x14ac:dyDescent="0.25">
      <c r="J26" s="7" t="str">
        <f t="shared" si="0"/>
        <v>Sat</v>
      </c>
      <c r="K26" s="11">
        <v>46158</v>
      </c>
      <c r="L26" s="9">
        <v>0.67708333333333337</v>
      </c>
      <c r="M26" t="s">
        <v>12</v>
      </c>
      <c r="N26" t="s">
        <v>71</v>
      </c>
      <c r="O26" s="14">
        <f>_xlfn.XLOOKUP(Games[[#This Row],[Type]],Types[Type],Types[Price])</f>
        <v>45</v>
      </c>
      <c r="P26">
        <f>_xlfn.XLOOKUP(Games[[#This Row],[Type]],Types[Type],Types[Pairs])</f>
        <v>2</v>
      </c>
      <c r="Q26" t="str">
        <f>TEXT(Games[[#This Row],[Price]],"$#,##0.00")&amp;" ("&amp;Games[[#This Row],[GamePairs]]*2&amp;")"</f>
        <v>$45.00 (4)</v>
      </c>
      <c r="R26" s="23">
        <v>14</v>
      </c>
      <c r="S26" s="15"/>
      <c r="T26" cm="1">
        <f t="array" aca="1" ref="T26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14.000001976859471</v>
      </c>
      <c r="U26" cm="1">
        <f t="array" aca="1" ref="U26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1.9768594700383814E-6</v>
      </c>
      <c r="V26">
        <f ca="1">_xlfn.RANK.EQ(Games[[#This Row],[Sort]],Games[Sort],1)</f>
        <v>14</v>
      </c>
      <c r="W26" t="str">
        <f>IF(ISNUMBER(Games[[#This Row],[QuadRank]]),_xlfn.RANK.EQ(Games[[#This Row],[QuadSort]],Games[QuadSort],1),"")</f>
        <v/>
      </c>
      <c r="X26" s="5" t="s">
        <v>50</v>
      </c>
      <c r="Y26" s="5"/>
      <c r="AA26" s="3" t="s">
        <v>72</v>
      </c>
      <c r="AB26" s="14">
        <v>57</v>
      </c>
      <c r="AC26">
        <v>2</v>
      </c>
      <c r="AD26">
        <f>COUNTIF(Games[Type],Types[[#This Row],[Type]])</f>
        <v>19</v>
      </c>
      <c r="AE26">
        <f>Types[[#This Row],[Games]]*Types[[#This Row],[Pairs]]*2</f>
        <v>76</v>
      </c>
      <c r="AF26" s="22">
        <f>Types[[#This Row],[Tickets]]*Types[[#This Row],[Price]]</f>
        <v>4332</v>
      </c>
    </row>
    <row r="27" spans="2:32" x14ac:dyDescent="0.25">
      <c r="J27" s="7" t="str">
        <f t="shared" si="0"/>
        <v>Sun</v>
      </c>
      <c r="K27" s="11">
        <v>46159</v>
      </c>
      <c r="L27" s="9">
        <v>0.68055555555555558</v>
      </c>
      <c r="M27" t="s">
        <v>12</v>
      </c>
      <c r="N27" t="s">
        <v>71</v>
      </c>
      <c r="O27" s="14">
        <f>_xlfn.XLOOKUP(Games[[#This Row],[Type]],Types[Type],Types[Price])</f>
        <v>45</v>
      </c>
      <c r="P27">
        <f>_xlfn.XLOOKUP(Games[[#This Row],[Type]],Types[Type],Types[Pairs])</f>
        <v>2</v>
      </c>
      <c r="Q27" t="str">
        <f>TEXT(Games[[#This Row],[Price]],"$#,##0.00")&amp;" ("&amp;Games[[#This Row],[GamePairs]]*2&amp;")"</f>
        <v>$45.00 (4)</v>
      </c>
      <c r="R27" s="23">
        <v>13</v>
      </c>
      <c r="S27" s="15"/>
      <c r="T27" cm="1">
        <f t="array" aca="1" ref="T27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13.000001993911567</v>
      </c>
      <c r="U27" cm="1">
        <f t="array" aca="1" ref="U27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1.9939115679223242E-6</v>
      </c>
      <c r="V27">
        <f ca="1">_xlfn.RANK.EQ(Games[[#This Row],[Sort]],Games[Sort],1)</f>
        <v>13</v>
      </c>
      <c r="W27" t="str">
        <f>IF(ISNUMBER(Games[[#This Row],[QuadRank]]),_xlfn.RANK.EQ(Games[[#This Row],[QuadSort]],Games[QuadSort],1),"")</f>
        <v/>
      </c>
      <c r="X27" s="5"/>
      <c r="Y27" s="5"/>
      <c r="AA27" s="3" t="s">
        <v>71</v>
      </c>
      <c r="AB27" s="14">
        <v>45</v>
      </c>
      <c r="AC27">
        <v>2</v>
      </c>
      <c r="AD27">
        <f>COUNTIF(Games[Type],Types[[#This Row],[Type]])</f>
        <v>11</v>
      </c>
      <c r="AE27">
        <f>Types[[#This Row],[Games]]*Types[[#This Row],[Pairs]]*2</f>
        <v>44</v>
      </c>
      <c r="AF27" s="22">
        <f>Types[[#This Row],[Tickets]]*Types[[#This Row],[Price]]</f>
        <v>1980</v>
      </c>
    </row>
    <row r="28" spans="2:32" x14ac:dyDescent="0.25">
      <c r="B28" s="12" t="b">
        <v>1</v>
      </c>
      <c r="C28" s="3" t="s">
        <v>73</v>
      </c>
      <c r="D28" s="8"/>
      <c r="E28" s="8"/>
      <c r="F28" s="8"/>
      <c r="G28" s="6"/>
      <c r="H28" s="6"/>
      <c r="I28" s="6"/>
      <c r="J28" s="7" t="str">
        <f t="shared" si="0"/>
        <v>Mon</v>
      </c>
      <c r="K28" s="11">
        <v>46160</v>
      </c>
      <c r="L28" s="9">
        <v>0.77777777777777779</v>
      </c>
      <c r="M28" t="s">
        <v>13</v>
      </c>
      <c r="N28" t="s">
        <v>71</v>
      </c>
      <c r="O28" s="14">
        <f>_xlfn.XLOOKUP(Games[[#This Row],[Type]],Types[Type],Types[Price])</f>
        <v>45</v>
      </c>
      <c r="P28">
        <f>_xlfn.XLOOKUP(Games[[#This Row],[Type]],Types[Type],Types[Pairs])</f>
        <v>2</v>
      </c>
      <c r="Q28" t="str">
        <f>TEXT(Games[[#This Row],[Price]],"$#,##0.00")&amp;" ("&amp;Games[[#This Row],[GamePairs]]*2&amp;")"</f>
        <v>$45.00 (4)</v>
      </c>
      <c r="R28" s="23">
        <v>49</v>
      </c>
      <c r="S28" s="15"/>
      <c r="T28" cm="1">
        <f t="array" aca="1" ref="T28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49.000000055361426</v>
      </c>
      <c r="U28" cm="1">
        <f t="array" aca="1" ref="U28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5.5361422391174589E-8</v>
      </c>
      <c r="V28">
        <f ca="1">_xlfn.RANK.EQ(Games[[#This Row],[Sort]],Games[Sort],1)</f>
        <v>49</v>
      </c>
      <c r="W28" t="str">
        <f>IF(ISNUMBER(Games[[#This Row],[QuadRank]]),_xlfn.RANK.EQ(Games[[#This Row],[QuadSort]],Games[QuadSort],1),"")</f>
        <v/>
      </c>
      <c r="X28" s="5" t="s">
        <v>51</v>
      </c>
      <c r="Y28" s="5"/>
      <c r="AA28" s="3" t="s">
        <v>81</v>
      </c>
      <c r="AD28">
        <f>SUBTOTAL(109,Types[Games])</f>
        <v>81</v>
      </c>
      <c r="AE28">
        <f>SUBTOTAL(109,Types[Tickets])</f>
        <v>324</v>
      </c>
      <c r="AF28" s="22">
        <f>SUBTOTAL(109,Types[Cost])</f>
        <v>22236</v>
      </c>
    </row>
    <row r="29" spans="2:32" x14ac:dyDescent="0.25">
      <c r="B29" s="12" t="b">
        <v>0</v>
      </c>
      <c r="C29" s="3" t="s">
        <v>84</v>
      </c>
      <c r="D29" s="8"/>
      <c r="E29" s="8"/>
      <c r="F29" s="8"/>
      <c r="G29" s="6"/>
      <c r="H29" s="6"/>
      <c r="I29" s="6"/>
      <c r="J29" s="7" t="str">
        <f t="shared" si="0"/>
        <v>Tue</v>
      </c>
      <c r="K29" s="11">
        <v>46161</v>
      </c>
      <c r="L29" s="9">
        <v>0.77777777777777779</v>
      </c>
      <c r="M29" t="s">
        <v>13</v>
      </c>
      <c r="N29" t="s">
        <v>70</v>
      </c>
      <c r="O29" s="14">
        <f>_xlfn.XLOOKUP(Games[[#This Row],[Type]],Types[Type],Types[Price])</f>
        <v>69</v>
      </c>
      <c r="P29">
        <f>_xlfn.XLOOKUP(Games[[#This Row],[Type]],Types[Type],Types[Pairs])</f>
        <v>2</v>
      </c>
      <c r="Q29" t="str">
        <f>TEXT(Games[[#This Row],[Price]],"$#,##0.00")&amp;" ("&amp;Games[[#This Row],[GamePairs]]*2&amp;")"</f>
        <v>$69.00 (4)</v>
      </c>
      <c r="R29" s="23">
        <v>48</v>
      </c>
      <c r="S29" s="15"/>
      <c r="T29" cm="1">
        <f t="array" aca="1" ref="T29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48.000000514201083</v>
      </c>
      <c r="U29" cm="1">
        <f t="array" aca="1" ref="U29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5.1420108121756008E-7</v>
      </c>
      <c r="V29">
        <f ca="1">_xlfn.RANK.EQ(Games[[#This Row],[Sort]],Games[Sort],1)</f>
        <v>48</v>
      </c>
      <c r="W29" t="str">
        <f>IF(ISNUMBER(Games[[#This Row],[QuadRank]]),_xlfn.RANK.EQ(Games[[#This Row],[QuadSort]],Games[QuadSort],1),"")</f>
        <v/>
      </c>
      <c r="X29" s="5" t="s">
        <v>51</v>
      </c>
      <c r="Y29" s="5"/>
    </row>
    <row r="30" spans="2:32" x14ac:dyDescent="0.25">
      <c r="B30" s="12" t="b">
        <v>0</v>
      </c>
      <c r="C30" s="3" t="s">
        <v>74</v>
      </c>
      <c r="D30" s="8"/>
      <c r="E30" s="8"/>
      <c r="F30" s="8"/>
      <c r="G30" s="6"/>
      <c r="H30" s="6"/>
      <c r="I30" s="6"/>
      <c r="J30" s="7" t="str">
        <f t="shared" si="0"/>
        <v>Wed</v>
      </c>
      <c r="K30" s="11">
        <v>46162</v>
      </c>
      <c r="L30" s="9">
        <v>0.54861111111111116</v>
      </c>
      <c r="M30" t="s">
        <v>13</v>
      </c>
      <c r="N30" t="s">
        <v>70</v>
      </c>
      <c r="O30" s="14">
        <f>_xlfn.XLOOKUP(Games[[#This Row],[Type]],Types[Type],Types[Price])</f>
        <v>69</v>
      </c>
      <c r="P30">
        <f>_xlfn.XLOOKUP(Games[[#This Row],[Type]],Types[Type],Types[Pairs])</f>
        <v>2</v>
      </c>
      <c r="Q30" t="str">
        <f>TEXT(Games[[#This Row],[Price]],"$#,##0.00")&amp;" ("&amp;Games[[#This Row],[GamePairs]]*2&amp;")"</f>
        <v>$69.00 (4)</v>
      </c>
      <c r="R30" s="23">
        <v>32</v>
      </c>
      <c r="S30" s="15"/>
      <c r="T30" cm="1">
        <f t="array" aca="1" ref="T30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32.000002229717509</v>
      </c>
      <c r="U30" cm="1">
        <f t="array" aca="1" ref="U30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2.2297175071674259E-6</v>
      </c>
      <c r="V30">
        <f ca="1">_xlfn.RANK.EQ(Games[[#This Row],[Sort]],Games[Sort],1)</f>
        <v>32</v>
      </c>
      <c r="W30" t="str">
        <f>IF(ISNUMBER(Games[[#This Row],[QuadRank]]),_xlfn.RANK.EQ(Games[[#This Row],[QuadSort]],Games[QuadSort],1),"")</f>
        <v/>
      </c>
      <c r="X30" s="5"/>
      <c r="Y30" s="5"/>
    </row>
    <row r="31" spans="2:32" x14ac:dyDescent="0.25">
      <c r="D31" s="8"/>
      <c r="E31" s="8"/>
      <c r="F31" s="8"/>
      <c r="G31" s="6"/>
      <c r="H31" s="6"/>
      <c r="I31" s="6"/>
      <c r="J31" s="7" t="str">
        <f t="shared" si="0"/>
        <v>Fri</v>
      </c>
      <c r="K31" s="11">
        <v>46171</v>
      </c>
      <c r="L31" s="9">
        <v>0.79861111111111116</v>
      </c>
      <c r="M31" t="s">
        <v>14</v>
      </c>
      <c r="N31" t="s">
        <v>70</v>
      </c>
      <c r="O31" s="14">
        <f>_xlfn.XLOOKUP(Games[[#This Row],[Type]],Types[Type],Types[Price])</f>
        <v>69</v>
      </c>
      <c r="P31">
        <f>_xlfn.XLOOKUP(Games[[#This Row],[Type]],Types[Type],Types[Pairs])</f>
        <v>2</v>
      </c>
      <c r="Q31" t="str">
        <f>TEXT(Games[[#This Row],[Price]],"$#,##0.00")&amp;" ("&amp;Games[[#This Row],[GamePairs]]*2&amp;")"</f>
        <v>$69.00 (4)</v>
      </c>
      <c r="R31" s="23">
        <v>24</v>
      </c>
      <c r="S31" s="15"/>
      <c r="T31" cm="1">
        <f t="array" aca="1" ref="T31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24.000001729081728</v>
      </c>
      <c r="U31" cm="1">
        <f t="array" aca="1" ref="U31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1.7290817292994016E-6</v>
      </c>
      <c r="V31">
        <f ca="1">_xlfn.RANK.EQ(Games[[#This Row],[Sort]],Games[Sort],1)</f>
        <v>24</v>
      </c>
      <c r="W31" t="str">
        <f>IF(ISNUMBER(Games[[#This Row],[QuadRank]]),_xlfn.RANK.EQ(Games[[#This Row],[QuadSort]],Games[QuadSort],1),"")</f>
        <v/>
      </c>
      <c r="X31" s="5" t="s">
        <v>52</v>
      </c>
      <c r="Y31" s="5"/>
    </row>
    <row r="32" spans="2:32" x14ac:dyDescent="0.25">
      <c r="B32" s="8"/>
      <c r="C32" s="8"/>
      <c r="D32" s="8"/>
      <c r="E32" s="8"/>
      <c r="F32" s="8"/>
      <c r="G32" s="6"/>
      <c r="H32" s="6"/>
      <c r="I32" s="6"/>
      <c r="J32" s="7" t="str">
        <f t="shared" si="0"/>
        <v>Sat</v>
      </c>
      <c r="K32" s="11">
        <v>46172</v>
      </c>
      <c r="L32" s="9">
        <v>0.79861111111111116</v>
      </c>
      <c r="M32" t="s">
        <v>14</v>
      </c>
      <c r="N32" t="s">
        <v>72</v>
      </c>
      <c r="O32" s="14">
        <f>_xlfn.XLOOKUP(Games[[#This Row],[Type]],Types[Type],Types[Price])</f>
        <v>57</v>
      </c>
      <c r="P32">
        <f>_xlfn.XLOOKUP(Games[[#This Row],[Type]],Types[Type],Types[Pairs])</f>
        <v>2</v>
      </c>
      <c r="Q32" t="str">
        <f>TEXT(Games[[#This Row],[Price]],"$#,##0.00")&amp;" ("&amp;Games[[#This Row],[GamePairs]]*2&amp;")"</f>
        <v>$57.00 (4)</v>
      </c>
      <c r="R32" s="23">
        <v>12</v>
      </c>
      <c r="S32" s="15"/>
      <c r="T32" cm="1">
        <f t="array" aca="1" ref="T3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12.000002187921389</v>
      </c>
      <c r="U32" cm="1">
        <f t="array" aca="1" ref="U32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2.1879213881257869E-6</v>
      </c>
      <c r="V32">
        <f ca="1">_xlfn.RANK.EQ(Games[[#This Row],[Sort]],Games[Sort],1)</f>
        <v>12</v>
      </c>
      <c r="W32" t="str">
        <f>IF(ISNUMBER(Games[[#This Row],[QuadRank]]),_xlfn.RANK.EQ(Games[[#This Row],[QuadSort]],Games[QuadSort],1),"")</f>
        <v/>
      </c>
      <c r="X32" s="5" t="s">
        <v>53</v>
      </c>
      <c r="Y32" s="5"/>
    </row>
    <row r="33" spans="2:25" x14ac:dyDescent="0.25">
      <c r="J33" s="7" t="str">
        <f t="shared" si="0"/>
        <v>Sun</v>
      </c>
      <c r="K33" s="11">
        <v>46173</v>
      </c>
      <c r="L33" s="9">
        <v>0.54861111111111116</v>
      </c>
      <c r="M33" t="s">
        <v>14</v>
      </c>
      <c r="N33" t="s">
        <v>72</v>
      </c>
      <c r="O33" s="14">
        <f>_xlfn.XLOOKUP(Games[[#This Row],[Type]],Types[Type],Types[Price])</f>
        <v>57</v>
      </c>
      <c r="P33">
        <f>_xlfn.XLOOKUP(Games[[#This Row],[Type]],Types[Type],Types[Pairs])</f>
        <v>2</v>
      </c>
      <c r="Q33" t="str">
        <f>TEXT(Games[[#This Row],[Price]],"$#,##0.00")&amp;" ("&amp;Games[[#This Row],[GamePairs]]*2&amp;")"</f>
        <v>$57.00 (4)</v>
      </c>
      <c r="R33" s="23">
        <v>11</v>
      </c>
      <c r="S33" s="15"/>
      <c r="T33" cm="1">
        <f t="array" aca="1" ref="T33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11.000001391909743</v>
      </c>
      <c r="U33" cm="1">
        <f t="array" aca="1" ref="U33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1.3919097428809699E-6</v>
      </c>
      <c r="V33">
        <f ca="1">_xlfn.RANK.EQ(Games[[#This Row],[Sort]],Games[Sort],1)</f>
        <v>11</v>
      </c>
      <c r="W33" t="str">
        <f>IF(ISNUMBER(Games[[#This Row],[QuadRank]]),_xlfn.RANK.EQ(Games[[#This Row],[QuadSort]],Games[QuadSort],1),"")</f>
        <v/>
      </c>
      <c r="X33" s="5" t="s">
        <v>54</v>
      </c>
      <c r="Y33" s="5"/>
    </row>
    <row r="34" spans="2:25" x14ac:dyDescent="0.25">
      <c r="J34" s="7" t="str">
        <f t="shared" ref="J34:J65" si="1">TEXT(K34, "ddd")</f>
        <v>Mon</v>
      </c>
      <c r="K34" s="11">
        <v>46174</v>
      </c>
      <c r="L34" s="9">
        <v>0.77777777777777779</v>
      </c>
      <c r="M34" t="s">
        <v>15</v>
      </c>
      <c r="N34" t="s">
        <v>72</v>
      </c>
      <c r="O34" s="14">
        <f>_xlfn.XLOOKUP(Games[[#This Row],[Type]],Types[Type],Types[Price])</f>
        <v>57</v>
      </c>
      <c r="P34">
        <f>_xlfn.XLOOKUP(Games[[#This Row],[Type]],Types[Type],Types[Pairs])</f>
        <v>2</v>
      </c>
      <c r="Q34" t="str">
        <f>TEXT(Games[[#This Row],[Price]],"$#,##0.00")&amp;" ("&amp;Games[[#This Row],[GamePairs]]*2&amp;")"</f>
        <v>$57.00 (4)</v>
      </c>
      <c r="R34" s="23">
        <v>47</v>
      </c>
      <c r="S34" s="15"/>
      <c r="T34" cm="1">
        <f t="array" aca="1" ref="T34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47.000000594072631</v>
      </c>
      <c r="U34" cm="1">
        <f t="array" aca="1" ref="U34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5.9407263458387495E-7</v>
      </c>
      <c r="V34">
        <f ca="1">_xlfn.RANK.EQ(Games[[#This Row],[Sort]],Games[Sort],1)</f>
        <v>47</v>
      </c>
      <c r="W34" t="str">
        <f>IF(ISNUMBER(Games[[#This Row],[QuadRank]]),_xlfn.RANK.EQ(Games[[#This Row],[QuadSort]],Games[QuadSort],1),"")</f>
        <v/>
      </c>
      <c r="X34" s="5"/>
      <c r="Y34" s="5"/>
    </row>
    <row r="35" spans="2:25" x14ac:dyDescent="0.25">
      <c r="J35" s="7" t="str">
        <f t="shared" si="1"/>
        <v>Tue</v>
      </c>
      <c r="K35" s="11">
        <v>46175</v>
      </c>
      <c r="L35" s="9">
        <v>0.77777777777777779</v>
      </c>
      <c r="M35" t="s">
        <v>15</v>
      </c>
      <c r="N35" t="s">
        <v>69</v>
      </c>
      <c r="O35" s="14">
        <f>_xlfn.XLOOKUP(Games[[#This Row],[Type]],Types[Type],Types[Price])</f>
        <v>90</v>
      </c>
      <c r="P35">
        <f>_xlfn.XLOOKUP(Games[[#This Row],[Type]],Types[Type],Types[Pairs])</f>
        <v>2</v>
      </c>
      <c r="Q35" t="str">
        <f>TEXT(Games[[#This Row],[Price]],"$#,##0.00")&amp;" ("&amp;Games[[#This Row],[GamePairs]]*2&amp;")"</f>
        <v>$90.00 (4)</v>
      </c>
      <c r="R35" s="23">
        <v>46</v>
      </c>
      <c r="S35" s="15"/>
      <c r="T35" cm="1">
        <f t="array" aca="1" ref="T35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46.000001052912296</v>
      </c>
      <c r="U35" cm="1">
        <f t="array" aca="1" ref="U35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1.0529122934102603E-6</v>
      </c>
      <c r="V35">
        <f ca="1">_xlfn.RANK.EQ(Games[[#This Row],[Sort]],Games[Sort],1)</f>
        <v>46</v>
      </c>
      <c r="W35" t="str">
        <f>IF(ISNUMBER(Games[[#This Row],[QuadRank]]),_xlfn.RANK.EQ(Games[[#This Row],[QuadSort]],Games[QuadSort],1),"")</f>
        <v/>
      </c>
      <c r="X35" s="5"/>
      <c r="Y35" s="5"/>
    </row>
    <row r="36" spans="2:25" x14ac:dyDescent="0.25">
      <c r="J36" s="7" t="str">
        <f t="shared" si="1"/>
        <v>Wed</v>
      </c>
      <c r="K36" s="11">
        <v>46176</v>
      </c>
      <c r="L36" s="9">
        <v>0.52777777777777779</v>
      </c>
      <c r="M36" t="s">
        <v>15</v>
      </c>
      <c r="N36" t="s">
        <v>69</v>
      </c>
      <c r="O36" s="14">
        <f>_xlfn.XLOOKUP(Games[[#This Row],[Type]],Types[Type],Types[Price])</f>
        <v>90</v>
      </c>
      <c r="P36">
        <f>_xlfn.XLOOKUP(Games[[#This Row],[Type]],Types[Type],Types[Pairs])</f>
        <v>2</v>
      </c>
      <c r="Q36" t="str">
        <f>TEXT(Games[[#This Row],[Price]],"$#,##0.00")&amp;" ("&amp;Games[[#This Row],[GamePairs]]*2&amp;")"</f>
        <v>$90.00 (4)</v>
      </c>
      <c r="R36" s="23">
        <v>31</v>
      </c>
      <c r="S36" s="15"/>
      <c r="T36" cm="1">
        <f t="array" aca="1" ref="T36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31.000000256900648</v>
      </c>
      <c r="U36" cm="1">
        <f t="array" aca="1" ref="U36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2.5690064816544316E-7</v>
      </c>
      <c r="V36">
        <f ca="1">_xlfn.RANK.EQ(Games[[#This Row],[Sort]],Games[Sort],1)</f>
        <v>31</v>
      </c>
      <c r="W36" t="str">
        <f>IF(ISNUMBER(Games[[#This Row],[QuadRank]]),_xlfn.RANK.EQ(Games[[#This Row],[QuadSort]],Games[QuadSort],1),"")</f>
        <v/>
      </c>
      <c r="X36" s="5"/>
      <c r="Y36" s="5"/>
    </row>
    <row r="37" spans="2:25" x14ac:dyDescent="0.25">
      <c r="J37" s="7" t="str">
        <f t="shared" si="1"/>
        <v>Tue</v>
      </c>
      <c r="K37" s="11">
        <v>46189</v>
      </c>
      <c r="L37" s="9">
        <v>0.77777777777777779</v>
      </c>
      <c r="M37" t="s">
        <v>16</v>
      </c>
      <c r="N37" t="s">
        <v>69</v>
      </c>
      <c r="O37" s="14">
        <f>_xlfn.XLOOKUP(Games[[#This Row],[Type]],Types[Type],Types[Price])</f>
        <v>90</v>
      </c>
      <c r="P37">
        <f>_xlfn.XLOOKUP(Games[[#This Row],[Type]],Types[Type],Types[Pairs])</f>
        <v>2</v>
      </c>
      <c r="Q37" t="str">
        <f>TEXT(Games[[#This Row],[Price]],"$#,##0.00")&amp;" ("&amp;Games[[#This Row],[GamePairs]]*2&amp;")"</f>
        <v>$90.00 (4)</v>
      </c>
      <c r="R37" s="23">
        <v>45</v>
      </c>
      <c r="S37" s="15"/>
      <c r="T37" cm="1">
        <f t="array" aca="1" ref="T37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45.000001591623509</v>
      </c>
      <c r="U37" cm="1">
        <f t="array" aca="1" ref="U37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1.5916235056029608E-6</v>
      </c>
      <c r="V37">
        <f ca="1">_xlfn.RANK.EQ(Games[[#This Row],[Sort]],Games[Sort],1)</f>
        <v>45</v>
      </c>
      <c r="W37" t="str">
        <f>IF(ISNUMBER(Games[[#This Row],[QuadRank]]),_xlfn.RANK.EQ(Games[[#This Row],[QuadSort]],Games[QuadSort],1),"")</f>
        <v/>
      </c>
      <c r="X37" s="5"/>
      <c r="Y37" s="5"/>
    </row>
    <row r="38" spans="2:25" x14ac:dyDescent="0.25">
      <c r="J38" s="7" t="str">
        <f t="shared" si="1"/>
        <v>Wed</v>
      </c>
      <c r="K38" s="11">
        <v>46190</v>
      </c>
      <c r="L38" s="9">
        <v>0.77777777777777779</v>
      </c>
      <c r="M38" t="s">
        <v>16</v>
      </c>
      <c r="N38" t="s">
        <v>70</v>
      </c>
      <c r="O38" s="14">
        <f>_xlfn.XLOOKUP(Games[[#This Row],[Type]],Types[Type],Types[Price])</f>
        <v>69</v>
      </c>
      <c r="P38">
        <f>_xlfn.XLOOKUP(Games[[#This Row],[Type]],Types[Type],Types[Pairs])</f>
        <v>2</v>
      </c>
      <c r="Q38" t="str">
        <f>TEXT(Games[[#This Row],[Price]],"$#,##0.00")&amp;" ("&amp;Games[[#This Row],[GamePairs]]*2&amp;")"</f>
        <v>$69.00 (4)</v>
      </c>
      <c r="R38" s="23">
        <v>44</v>
      </c>
      <c r="S38" s="15"/>
      <c r="T38" cm="1">
        <f t="array" aca="1" ref="T38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44.000001644871205</v>
      </c>
      <c r="U38" cm="1">
        <f t="array" aca="1" ref="U38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1.6448712078471706E-6</v>
      </c>
      <c r="V38">
        <f ca="1">_xlfn.RANK.EQ(Games[[#This Row],[Sort]],Games[Sort],1)</f>
        <v>44</v>
      </c>
      <c r="W38" t="str">
        <f>IF(ISNUMBER(Games[[#This Row],[QuadRank]]),_xlfn.RANK.EQ(Games[[#This Row],[QuadSort]],Games[QuadSort],1),"")</f>
        <v/>
      </c>
      <c r="X38" s="5"/>
      <c r="Y38" s="5"/>
    </row>
    <row r="39" spans="2:25" x14ac:dyDescent="0.25">
      <c r="B39" s="12" t="b">
        <v>0</v>
      </c>
      <c r="C39" t="s">
        <v>28</v>
      </c>
      <c r="D39" s="13"/>
      <c r="E39" t="s">
        <v>29</v>
      </c>
      <c r="J39" s="7" t="str">
        <f t="shared" si="1"/>
        <v>Thu</v>
      </c>
      <c r="K39" s="11">
        <v>46191</v>
      </c>
      <c r="L39" s="9">
        <v>0.54861111111111116</v>
      </c>
      <c r="M39" t="s">
        <v>16</v>
      </c>
      <c r="N39" t="s">
        <v>70</v>
      </c>
      <c r="O39" s="14">
        <f>_xlfn.XLOOKUP(Games[[#This Row],[Type]],Types[Type],Types[Price])</f>
        <v>69</v>
      </c>
      <c r="P39">
        <f>_xlfn.XLOOKUP(Games[[#This Row],[Type]],Types[Type],Types[Pairs])</f>
        <v>2</v>
      </c>
      <c r="Q39" t="str">
        <f>TEXT(Games[[#This Row],[Price]],"$#,##0.00")&amp;" ("&amp;Games[[#This Row],[GamePairs]]*2&amp;")"</f>
        <v>$69.00 (4)</v>
      </c>
      <c r="R39" s="23">
        <v>30</v>
      </c>
      <c r="S39" s="15"/>
      <c r="T39" cm="1">
        <f t="array" aca="1" ref="T39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30.000000620661606</v>
      </c>
      <c r="U39" cm="1">
        <f t="array" aca="1" ref="U39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6.2066160639977615E-7</v>
      </c>
      <c r="V39">
        <f ca="1">_xlfn.RANK.EQ(Games[[#This Row],[Sort]],Games[Sort],1)</f>
        <v>30</v>
      </c>
      <c r="W39" t="str">
        <f>IF(ISNUMBER(Games[[#This Row],[QuadRank]]),_xlfn.RANK.EQ(Games[[#This Row],[QuadSort]],Games[QuadSort],1),"")</f>
        <v/>
      </c>
      <c r="X39" s="5" t="s">
        <v>55</v>
      </c>
      <c r="Y39" s="5"/>
    </row>
    <row r="40" spans="2:25" x14ac:dyDescent="0.25">
      <c r="B40" s="12" t="b">
        <v>0</v>
      </c>
      <c r="C40" t="s">
        <v>30</v>
      </c>
      <c r="D40" s="13"/>
      <c r="E40" t="s">
        <v>29</v>
      </c>
      <c r="J40" s="7" t="str">
        <f t="shared" si="1"/>
        <v>Fri</v>
      </c>
      <c r="K40" s="11">
        <v>46192</v>
      </c>
      <c r="L40" s="9">
        <v>0.79861111111111116</v>
      </c>
      <c r="M40" t="s">
        <v>17</v>
      </c>
      <c r="N40" t="s">
        <v>70</v>
      </c>
      <c r="O40" s="14">
        <f>_xlfn.XLOOKUP(Games[[#This Row],[Type]],Types[Type],Types[Price])</f>
        <v>69</v>
      </c>
      <c r="P40">
        <f>_xlfn.XLOOKUP(Games[[#This Row],[Type]],Types[Type],Types[Pairs])</f>
        <v>2</v>
      </c>
      <c r="Q40" t="str">
        <f>TEXT(Games[[#This Row],[Price]],"$#,##0.00")&amp;" ("&amp;Games[[#This Row],[GamePairs]]*2&amp;")"</f>
        <v>$69.00 (4)</v>
      </c>
      <c r="R40" s="23">
        <v>23</v>
      </c>
      <c r="S40" s="15"/>
      <c r="T40" cm="1">
        <f t="array" aca="1" ref="T40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23.000002334352569</v>
      </c>
      <c r="U40" cm="1">
        <f t="array" aca="1" ref="U40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2.3343525692973643E-6</v>
      </c>
      <c r="V40">
        <f ca="1">_xlfn.RANK.EQ(Games[[#This Row],[Sort]],Games[Sort],1)</f>
        <v>23</v>
      </c>
      <c r="W40" t="str">
        <f>IF(ISNUMBER(Games[[#This Row],[QuadRank]]),_xlfn.RANK.EQ(Games[[#This Row],[QuadSort]],Games[QuadSort],1),"")</f>
        <v/>
      </c>
      <c r="X40" s="5" t="s">
        <v>52</v>
      </c>
      <c r="Y40" s="5"/>
    </row>
    <row r="41" spans="2:25" x14ac:dyDescent="0.25">
      <c r="B41" s="12" t="b">
        <v>0</v>
      </c>
      <c r="C41" t="s">
        <v>28</v>
      </c>
      <c r="D41" s="13"/>
      <c r="E41" t="s">
        <v>35</v>
      </c>
      <c r="J41" s="7" t="str">
        <f t="shared" si="1"/>
        <v>Sat</v>
      </c>
      <c r="K41" s="11">
        <v>46193</v>
      </c>
      <c r="L41" s="9">
        <v>0.79861111111111116</v>
      </c>
      <c r="M41" t="s">
        <v>17</v>
      </c>
      <c r="N41" t="s">
        <v>72</v>
      </c>
      <c r="O41" s="14">
        <f>_xlfn.XLOOKUP(Games[[#This Row],[Type]],Types[Type],Types[Price])</f>
        <v>57</v>
      </c>
      <c r="P41">
        <f>_xlfn.XLOOKUP(Games[[#This Row],[Type]],Types[Type],Types[Pairs])</f>
        <v>2</v>
      </c>
      <c r="Q41" t="str">
        <f>TEXT(Games[[#This Row],[Price]],"$#,##0.00")&amp;" ("&amp;Games[[#This Row],[GamePairs]]*2&amp;")"</f>
        <v>$57.00 (4)</v>
      </c>
      <c r="R41" s="23">
        <v>10</v>
      </c>
      <c r="S41" s="15"/>
      <c r="T41" cm="1">
        <f t="array" aca="1" ref="T41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10.0000000534662</v>
      </c>
      <c r="U41" cm="1">
        <f t="array" aca="1" ref="U41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5.3466200726489499E-8</v>
      </c>
      <c r="V41">
        <f ca="1">_xlfn.RANK.EQ(Games[[#This Row],[Sort]],Games[Sort],1)</f>
        <v>10</v>
      </c>
      <c r="W41" t="str">
        <f>IF(ISNUMBER(Games[[#This Row],[QuadRank]]),_xlfn.RANK.EQ(Games[[#This Row],[QuadSort]],Games[QuadSort],1),"")</f>
        <v/>
      </c>
      <c r="X41" s="5"/>
      <c r="Y41" s="5"/>
    </row>
    <row r="42" spans="2:25" x14ac:dyDescent="0.25">
      <c r="B42" s="12" t="b">
        <v>0</v>
      </c>
      <c r="C42" t="s">
        <v>30</v>
      </c>
      <c r="D42" s="13"/>
      <c r="E42" t="s">
        <v>35</v>
      </c>
      <c r="J42" s="7" t="str">
        <f t="shared" si="1"/>
        <v>Sun</v>
      </c>
      <c r="K42" s="11">
        <v>46194</v>
      </c>
      <c r="L42" s="9">
        <v>0.54861111111111116</v>
      </c>
      <c r="M42" t="s">
        <v>17</v>
      </c>
      <c r="N42" t="s">
        <v>72</v>
      </c>
      <c r="O42" s="14">
        <f>_xlfn.XLOOKUP(Games[[#This Row],[Type]],Types[Type],Types[Price])</f>
        <v>57</v>
      </c>
      <c r="P42">
        <f>_xlfn.XLOOKUP(Games[[#This Row],[Type]],Types[Type],Types[Pairs])</f>
        <v>2</v>
      </c>
      <c r="Q42" t="str">
        <f>TEXT(Games[[#This Row],[Price]],"$#,##0.00")&amp;" ("&amp;Games[[#This Row],[GamePairs]]*2&amp;")"</f>
        <v>$57.00 (4)</v>
      </c>
      <c r="R42" s="23">
        <v>9</v>
      </c>
      <c r="S42" s="15"/>
      <c r="T42" cm="1">
        <f t="array" aca="1" ref="T4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9.0000019971805827</v>
      </c>
      <c r="U42" cm="1">
        <f t="array" aca="1" ref="U42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1.9971805828789324E-6</v>
      </c>
      <c r="V42">
        <f ca="1">_xlfn.RANK.EQ(Games[[#This Row],[Sort]],Games[Sort],1)</f>
        <v>9</v>
      </c>
      <c r="W42" t="str">
        <f>IF(ISNUMBER(Games[[#This Row],[QuadRank]]),_xlfn.RANK.EQ(Games[[#This Row],[QuadSort]],Games[QuadSort],1),"")</f>
        <v/>
      </c>
      <c r="X42" s="5"/>
      <c r="Y42" s="5"/>
    </row>
    <row r="43" spans="2:25" x14ac:dyDescent="0.25">
      <c r="B43" s="12" t="b">
        <v>0</v>
      </c>
      <c r="C43" t="s">
        <v>28</v>
      </c>
      <c r="D43" s="13"/>
      <c r="E43" t="s">
        <v>36</v>
      </c>
      <c r="J43" s="7" t="str">
        <f t="shared" si="1"/>
        <v>Mon</v>
      </c>
      <c r="K43" s="11">
        <v>46202</v>
      </c>
      <c r="L43" s="9">
        <v>0.77777777777777779</v>
      </c>
      <c r="M43" t="s">
        <v>18</v>
      </c>
      <c r="N43" t="s">
        <v>72</v>
      </c>
      <c r="O43" s="14">
        <f>_xlfn.XLOOKUP(Games[[#This Row],[Type]],Types[Type],Types[Price])</f>
        <v>57</v>
      </c>
      <c r="P43">
        <f>_xlfn.XLOOKUP(Games[[#This Row],[Type]],Types[Type],Types[Pairs])</f>
        <v>2</v>
      </c>
      <c r="Q43" t="str">
        <f>TEXT(Games[[#This Row],[Price]],"$#,##0.00")&amp;" ("&amp;Games[[#This Row],[GamePairs]]*2&amp;")"</f>
        <v>$57.00 (4)</v>
      </c>
      <c r="R43" s="23">
        <v>43</v>
      </c>
      <c r="S43" s="15"/>
      <c r="T43" cm="1">
        <f t="array" aca="1" ref="T43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43.000001579998674</v>
      </c>
      <c r="U43" cm="1">
        <f t="array" aca="1" ref="U43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1.5799986721616086E-6</v>
      </c>
      <c r="V43">
        <f ca="1">_xlfn.RANK.EQ(Games[[#This Row],[Sort]],Games[Sort],1)</f>
        <v>43</v>
      </c>
      <c r="W43" t="str">
        <f>IF(ISNUMBER(Games[[#This Row],[QuadRank]]),_xlfn.RANK.EQ(Games[[#This Row],[QuadSort]],Games[QuadSort],1),"")</f>
        <v/>
      </c>
      <c r="X43" s="5" t="s">
        <v>56</v>
      </c>
      <c r="Y43" s="5"/>
    </row>
    <row r="44" spans="2:25" x14ac:dyDescent="0.25">
      <c r="B44" s="12" t="b">
        <v>0</v>
      </c>
      <c r="C44" t="s">
        <v>30</v>
      </c>
      <c r="D44" s="13"/>
      <c r="E44" t="s">
        <v>36</v>
      </c>
      <c r="J44" s="7" t="str">
        <f t="shared" si="1"/>
        <v>Tue</v>
      </c>
      <c r="K44" s="11">
        <v>46203</v>
      </c>
      <c r="L44" s="9">
        <v>0.77777777777777779</v>
      </c>
      <c r="M44" t="s">
        <v>18</v>
      </c>
      <c r="N44" t="s">
        <v>70</v>
      </c>
      <c r="O44" s="14">
        <f>_xlfn.XLOOKUP(Games[[#This Row],[Type]],Types[Type],Types[Price])</f>
        <v>69</v>
      </c>
      <c r="P44">
        <f>_xlfn.XLOOKUP(Games[[#This Row],[Type]],Types[Type],Types[Pairs])</f>
        <v>2</v>
      </c>
      <c r="Q44" t="str">
        <f>TEXT(Games[[#This Row],[Price]],"$#,##0.00")&amp;" ("&amp;Games[[#This Row],[GamePairs]]*2&amp;")"</f>
        <v>$69.00 (4)</v>
      </c>
      <c r="R44" s="23">
        <v>42</v>
      </c>
      <c r="S44" s="15"/>
      <c r="T44" cm="1">
        <f t="array" aca="1" ref="T44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42.000002038838332</v>
      </c>
      <c r="U44" cm="1">
        <f t="array" aca="1" ref="U44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2.0388383309879938E-6</v>
      </c>
      <c r="V44">
        <f ca="1">_xlfn.RANK.EQ(Games[[#This Row],[Sort]],Games[Sort],1)</f>
        <v>42</v>
      </c>
      <c r="W44" t="str">
        <f>IF(ISNUMBER(Games[[#This Row],[QuadRank]]),_xlfn.RANK.EQ(Games[[#This Row],[QuadSort]],Games[QuadSort],1),"")</f>
        <v/>
      </c>
      <c r="X44" s="5" t="s">
        <v>56</v>
      </c>
      <c r="Y44" s="5"/>
    </row>
    <row r="45" spans="2:25" x14ac:dyDescent="0.25">
      <c r="B45" s="12" t="b">
        <v>1</v>
      </c>
      <c r="C45" t="s">
        <v>28</v>
      </c>
      <c r="D45" s="13">
        <v>13</v>
      </c>
      <c r="E45" t="s">
        <v>31</v>
      </c>
      <c r="J45" s="7" t="str">
        <f t="shared" si="1"/>
        <v>Thu</v>
      </c>
      <c r="K45" s="11">
        <v>46205</v>
      </c>
      <c r="L45" s="9">
        <v>0.77777777777777779</v>
      </c>
      <c r="M45" t="s">
        <v>18</v>
      </c>
      <c r="N45" t="s">
        <v>69</v>
      </c>
      <c r="O45" s="14">
        <f>_xlfn.XLOOKUP(Games[[#This Row],[Type]],Types[Type],Types[Price])</f>
        <v>90</v>
      </c>
      <c r="P45">
        <f>_xlfn.XLOOKUP(Games[[#This Row],[Type]],Types[Type],Types[Pairs])</f>
        <v>2</v>
      </c>
      <c r="Q45" t="str">
        <f>TEXT(Games[[#This Row],[Price]],"$#,##0.00")&amp;" ("&amp;Games[[#This Row],[GamePairs]]*2&amp;")"</f>
        <v>$90.00 (4)</v>
      </c>
      <c r="R45" s="23">
        <v>68</v>
      </c>
      <c r="S45" s="15"/>
      <c r="T45" cm="1">
        <f t="array" aca="1" ref="T45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68.000000216791619</v>
      </c>
      <c r="U45" cm="1">
        <f t="array" aca="1" ref="U45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2.1679162124350464E-7</v>
      </c>
      <c r="V45">
        <f ca="1">_xlfn.RANK.EQ(Games[[#This Row],[Sort]],Games[Sort],1)</f>
        <v>68</v>
      </c>
      <c r="W45" t="str">
        <f>IF(ISNUMBER(Games[[#This Row],[QuadRank]]),_xlfn.RANK.EQ(Games[[#This Row],[QuadSort]],Games[QuadSort],1),"")</f>
        <v/>
      </c>
      <c r="X45" s="5" t="s">
        <v>56</v>
      </c>
      <c r="Y45" s="5"/>
    </row>
    <row r="46" spans="2:25" x14ac:dyDescent="0.25">
      <c r="B46" s="12" t="b">
        <v>0</v>
      </c>
      <c r="C46" t="s">
        <v>30</v>
      </c>
      <c r="D46" s="13"/>
      <c r="E46" t="s">
        <v>31</v>
      </c>
      <c r="J46" s="7" t="str">
        <f t="shared" si="1"/>
        <v>Fri</v>
      </c>
      <c r="K46" s="11">
        <v>46206</v>
      </c>
      <c r="L46" s="9">
        <v>0.79861111111111116</v>
      </c>
      <c r="M46" t="s">
        <v>19</v>
      </c>
      <c r="N46" t="s">
        <v>69</v>
      </c>
      <c r="O46" s="14">
        <f>_xlfn.XLOOKUP(Games[[#This Row],[Type]],Types[Type],Types[Price])</f>
        <v>90</v>
      </c>
      <c r="P46">
        <f>_xlfn.XLOOKUP(Games[[#This Row],[Type]],Types[Type],Types[Pairs])</f>
        <v>2</v>
      </c>
      <c r="Q46" t="str">
        <f>TEXT(Games[[#This Row],[Price]],"$#,##0.00")&amp;" ("&amp;Games[[#This Row],[GamePairs]]*2&amp;")"</f>
        <v>$90.00 (4)</v>
      </c>
      <c r="R46" s="23">
        <v>67</v>
      </c>
      <c r="S46" s="15"/>
      <c r="T46" cm="1">
        <f t="array" aca="1" ref="T46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67.000000447433322</v>
      </c>
      <c r="U46" cm="1">
        <f t="array" aca="1" ref="U46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4.4743332386731284E-7</v>
      </c>
      <c r="V46">
        <f ca="1">_xlfn.RANK.EQ(Games[[#This Row],[Sort]],Games[Sort],1)</f>
        <v>67</v>
      </c>
      <c r="W46" t="str">
        <f>IF(ISNUMBER(Games[[#This Row],[QuadRank]]),_xlfn.RANK.EQ(Games[[#This Row],[QuadSort]],Games[QuadSort],1),"")</f>
        <v/>
      </c>
      <c r="X46" s="5" t="s">
        <v>52</v>
      </c>
      <c r="Y46" s="5"/>
    </row>
    <row r="47" spans="2:25" x14ac:dyDescent="0.25">
      <c r="B47" s="12" t="b">
        <v>0</v>
      </c>
      <c r="C47" t="s">
        <v>28</v>
      </c>
      <c r="D47" s="13"/>
      <c r="E47" t="s">
        <v>33</v>
      </c>
      <c r="J47" s="7" t="str">
        <f t="shared" si="1"/>
        <v>Sat</v>
      </c>
      <c r="K47" s="11">
        <v>46207</v>
      </c>
      <c r="L47" s="9">
        <v>0.54861111111111116</v>
      </c>
      <c r="M47" t="s">
        <v>19</v>
      </c>
      <c r="N47" t="s">
        <v>69</v>
      </c>
      <c r="O47" s="14">
        <f>_xlfn.XLOOKUP(Games[[#This Row],[Type]],Types[Type],Types[Price])</f>
        <v>90</v>
      </c>
      <c r="P47">
        <f>_xlfn.XLOOKUP(Games[[#This Row],[Type]],Types[Type],Types[Pairs])</f>
        <v>2</v>
      </c>
      <c r="Q47" t="str">
        <f>TEXT(Games[[#This Row],[Price]],"$#,##0.00")&amp;" ("&amp;Games[[#This Row],[GamePairs]]*2&amp;")"</f>
        <v>$90.00 (4)</v>
      </c>
      <c r="R47" s="23">
        <v>66</v>
      </c>
      <c r="S47" s="15"/>
      <c r="T47" cm="1">
        <f t="array" aca="1" ref="T47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66.000002391147703</v>
      </c>
      <c r="U47" cm="1">
        <f t="array" aca="1" ref="U47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2.3911477060197561E-6</v>
      </c>
      <c r="V47">
        <f ca="1">_xlfn.RANK.EQ(Games[[#This Row],[Sort]],Games[Sort],1)</f>
        <v>66</v>
      </c>
      <c r="W47" t="str">
        <f>IF(ISNUMBER(Games[[#This Row],[QuadRank]]),_xlfn.RANK.EQ(Games[[#This Row],[QuadSort]],Games[QuadSort],1),"")</f>
        <v/>
      </c>
      <c r="X47" s="5" t="s">
        <v>57</v>
      </c>
      <c r="Y47" s="5"/>
    </row>
    <row r="48" spans="2:25" x14ac:dyDescent="0.25">
      <c r="B48" s="12" t="b">
        <v>0</v>
      </c>
      <c r="C48" t="s">
        <v>30</v>
      </c>
      <c r="D48" s="13"/>
      <c r="E48" t="s">
        <v>33</v>
      </c>
      <c r="J48" s="7" t="str">
        <f t="shared" si="1"/>
        <v>Sun</v>
      </c>
      <c r="K48" s="11">
        <v>46208</v>
      </c>
      <c r="L48" s="9">
        <v>0.58333333333333337</v>
      </c>
      <c r="M48" t="s">
        <v>19</v>
      </c>
      <c r="N48" t="s">
        <v>69</v>
      </c>
      <c r="O48" s="14">
        <f>_xlfn.XLOOKUP(Games[[#This Row],[Type]],Types[Type],Types[Price])</f>
        <v>90</v>
      </c>
      <c r="P48">
        <f>_xlfn.XLOOKUP(Games[[#This Row],[Type]],Types[Type],Types[Pairs])</f>
        <v>2</v>
      </c>
      <c r="Q48" t="str">
        <f>TEXT(Games[[#This Row],[Price]],"$#,##0.00")&amp;" ("&amp;Games[[#This Row],[GamePairs]]*2&amp;")"</f>
        <v>$90.00 (4)</v>
      </c>
      <c r="R48" s="23">
        <v>65</v>
      </c>
      <c r="S48" s="15"/>
      <c r="T48" cm="1">
        <f t="array" aca="1" ref="T48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65.000000879710953</v>
      </c>
      <c r="U48" cm="1">
        <f t="array" aca="1" ref="U48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8.7971094970221385E-7</v>
      </c>
      <c r="V48">
        <f ca="1">_xlfn.RANK.EQ(Games[[#This Row],[Sort]],Games[Sort],1)</f>
        <v>65</v>
      </c>
      <c r="W48" t="str">
        <f>IF(ISNUMBER(Games[[#This Row],[QuadRank]]),_xlfn.RANK.EQ(Games[[#This Row],[QuadSort]],Games[QuadSort],1),"")</f>
        <v/>
      </c>
      <c r="X48" s="5"/>
      <c r="Y48" s="5"/>
    </row>
    <row r="49" spans="2:25" x14ac:dyDescent="0.25">
      <c r="B49" s="12" t="b">
        <v>0</v>
      </c>
      <c r="C49" t="s">
        <v>28</v>
      </c>
      <c r="D49" s="13"/>
      <c r="E49" t="s">
        <v>34</v>
      </c>
      <c r="J49" s="7" t="str">
        <f t="shared" si="1"/>
        <v>Fri</v>
      </c>
      <c r="K49" s="11">
        <v>46220</v>
      </c>
      <c r="L49" s="9">
        <v>0.79861111111111116</v>
      </c>
      <c r="M49" t="s">
        <v>20</v>
      </c>
      <c r="N49" t="s">
        <v>69</v>
      </c>
      <c r="O49" s="14">
        <f>_xlfn.XLOOKUP(Games[[#This Row],[Type]],Types[Type],Types[Price])</f>
        <v>90</v>
      </c>
      <c r="P49">
        <f>_xlfn.XLOOKUP(Games[[#This Row],[Type]],Types[Type],Types[Pairs])</f>
        <v>2</v>
      </c>
      <c r="Q49" t="str">
        <f>TEXT(Games[[#This Row],[Price]],"$#,##0.00")&amp;" ("&amp;Games[[#This Row],[GamePairs]]*2&amp;")"</f>
        <v>$90.00 (4)</v>
      </c>
      <c r="R49" s="23">
        <v>22</v>
      </c>
      <c r="S49" s="15"/>
      <c r="T49" cm="1">
        <f t="array" aca="1" ref="T49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22.00000058055258</v>
      </c>
      <c r="U49" cm="1">
        <f t="array" aca="1" ref="U49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5.8055257947783768E-7</v>
      </c>
      <c r="V49">
        <f ca="1">_xlfn.RANK.EQ(Games[[#This Row],[Sort]],Games[Sort],1)</f>
        <v>22</v>
      </c>
      <c r="W49" t="str">
        <f>IF(ISNUMBER(Games[[#This Row],[QuadRank]]),_xlfn.RANK.EQ(Games[[#This Row],[QuadSort]],Games[QuadSort],1),"")</f>
        <v/>
      </c>
      <c r="X49" s="5" t="s">
        <v>52</v>
      </c>
      <c r="Y49" s="5"/>
    </row>
    <row r="50" spans="2:25" x14ac:dyDescent="0.25">
      <c r="B50" s="12" t="b">
        <v>0</v>
      </c>
      <c r="C50" t="s">
        <v>30</v>
      </c>
      <c r="D50" s="13"/>
      <c r="E50" t="s">
        <v>34</v>
      </c>
      <c r="J50" s="7" t="str">
        <f t="shared" si="1"/>
        <v>Sat</v>
      </c>
      <c r="K50" s="11">
        <v>46221</v>
      </c>
      <c r="L50" s="9">
        <v>0.71388888888888891</v>
      </c>
      <c r="M50" t="s">
        <v>20</v>
      </c>
      <c r="N50" t="s">
        <v>69</v>
      </c>
      <c r="O50" s="14">
        <f>_xlfn.XLOOKUP(Games[[#This Row],[Type]],Types[Type],Types[Price])</f>
        <v>90</v>
      </c>
      <c r="P50">
        <f>_xlfn.XLOOKUP(Games[[#This Row],[Type]],Types[Type],Types[Pairs])</f>
        <v>2</v>
      </c>
      <c r="Q50" t="str">
        <f>TEXT(Games[[#This Row],[Price]],"$#,##0.00")&amp;" ("&amp;Games[[#This Row],[GamePairs]]*2&amp;")"</f>
        <v>$90.00 (4)</v>
      </c>
      <c r="R50" s="23">
        <v>8</v>
      </c>
      <c r="S50" s="15"/>
      <c r="T50" cm="1">
        <f t="array" aca="1" ref="T50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8.0000011434711542</v>
      </c>
      <c r="U50" cm="1">
        <f t="array" aca="1" ref="U50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1.143471154141916E-6</v>
      </c>
      <c r="V50">
        <f ca="1">_xlfn.RANK.EQ(Games[[#This Row],[Sort]],Games[Sort],1)</f>
        <v>8</v>
      </c>
      <c r="W50" t="str">
        <f>IF(ISNUMBER(Games[[#This Row],[QuadRank]]),_xlfn.RANK.EQ(Games[[#This Row],[QuadSort]],Games[QuadSort],1),"")</f>
        <v/>
      </c>
      <c r="X50" s="5"/>
      <c r="Y50" s="5"/>
    </row>
    <row r="51" spans="2:25" x14ac:dyDescent="0.25">
      <c r="B51" s="12" t="b">
        <v>0</v>
      </c>
      <c r="C51" t="s">
        <v>30</v>
      </c>
      <c r="D51" s="13"/>
      <c r="E51" t="s">
        <v>32</v>
      </c>
      <c r="J51" s="7" t="str">
        <f t="shared" si="1"/>
        <v>Sun</v>
      </c>
      <c r="K51" s="11">
        <v>46222</v>
      </c>
      <c r="L51" s="9">
        <v>0.54861111111111116</v>
      </c>
      <c r="M51" t="s">
        <v>20</v>
      </c>
      <c r="N51" t="s">
        <v>72</v>
      </c>
      <c r="O51" s="14">
        <f>_xlfn.XLOOKUP(Games[[#This Row],[Type]],Types[Type],Types[Price])</f>
        <v>57</v>
      </c>
      <c r="P51">
        <f>_xlfn.XLOOKUP(Games[[#This Row],[Type]],Types[Type],Types[Pairs])</f>
        <v>2</v>
      </c>
      <c r="Q51" t="str">
        <f>TEXT(Games[[#This Row],[Price]],"$#,##0.00")&amp;" ("&amp;Games[[#This Row],[GamePairs]]*2&amp;")"</f>
        <v>$57.00 (4)</v>
      </c>
      <c r="R51" s="23">
        <v>7</v>
      </c>
      <c r="S51" s="15"/>
      <c r="T51" cm="1">
        <f t="array" aca="1" ref="T51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7.000000243380593</v>
      </c>
      <c r="U51" cm="1">
        <f t="array" aca="1" ref="U51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2.4338059305940589E-7</v>
      </c>
      <c r="V51">
        <f ca="1">_xlfn.RANK.EQ(Games[[#This Row],[Sort]],Games[Sort],1)</f>
        <v>7</v>
      </c>
      <c r="W51" t="str">
        <f>IF(ISNUMBER(Games[[#This Row],[QuadRank]]),_xlfn.RANK.EQ(Games[[#This Row],[QuadSort]],Games[QuadSort],1),"")</f>
        <v/>
      </c>
      <c r="X51" s="5" t="s">
        <v>58</v>
      </c>
      <c r="Y51" s="5"/>
    </row>
    <row r="52" spans="2:25" x14ac:dyDescent="0.25">
      <c r="B52" s="12" t="b">
        <v>0</v>
      </c>
      <c r="C52" t="s">
        <v>30</v>
      </c>
      <c r="D52" s="13"/>
      <c r="E52" t="s">
        <v>37</v>
      </c>
      <c r="J52" s="7" t="str">
        <f t="shared" si="1"/>
        <v>Mon</v>
      </c>
      <c r="K52" s="11">
        <v>46223</v>
      </c>
      <c r="L52" s="9">
        <v>0.77777777777777779</v>
      </c>
      <c r="M52" t="s">
        <v>21</v>
      </c>
      <c r="N52" t="s">
        <v>72</v>
      </c>
      <c r="O52" s="14">
        <f>_xlfn.XLOOKUP(Games[[#This Row],[Type]],Types[Type],Types[Price])</f>
        <v>57</v>
      </c>
      <c r="P52">
        <f>_xlfn.XLOOKUP(Games[[#This Row],[Type]],Types[Type],Types[Pairs])</f>
        <v>2</v>
      </c>
      <c r="Q52" t="str">
        <f>TEXT(Games[[#This Row],[Price]],"$#,##0.00")&amp;" ("&amp;Games[[#This Row],[GamePairs]]*2&amp;")"</f>
        <v>$57.00 (4)</v>
      </c>
      <c r="R52" s="23">
        <v>41</v>
      </c>
      <c r="S52" s="15"/>
      <c r="T52" cm="1">
        <f t="array" aca="1" ref="T5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41.000002185269516</v>
      </c>
      <c r="U52" cm="1">
        <f t="array" aca="1" ref="U52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2.1852695121595713E-6</v>
      </c>
      <c r="V52">
        <f ca="1">_xlfn.RANK.EQ(Games[[#This Row],[Sort]],Games[Sort],1)</f>
        <v>41</v>
      </c>
      <c r="W52" t="str">
        <f>IF(ISNUMBER(Games[[#This Row],[QuadRank]]),_xlfn.RANK.EQ(Games[[#This Row],[QuadSort]],Games[QuadSort],1),"")</f>
        <v/>
      </c>
      <c r="X52" s="5"/>
      <c r="Y52" s="5"/>
    </row>
    <row r="53" spans="2:25" x14ac:dyDescent="0.25">
      <c r="J53" s="7" t="str">
        <f t="shared" si="1"/>
        <v>Tue</v>
      </c>
      <c r="K53" s="11">
        <v>46224</v>
      </c>
      <c r="L53" s="9">
        <v>0.77777777777777779</v>
      </c>
      <c r="M53" t="s">
        <v>21</v>
      </c>
      <c r="N53" t="s">
        <v>72</v>
      </c>
      <c r="O53" s="14">
        <f>_xlfn.XLOOKUP(Games[[#This Row],[Type]],Types[Type],Types[Price])</f>
        <v>57</v>
      </c>
      <c r="P53">
        <f>_xlfn.XLOOKUP(Games[[#This Row],[Type]],Types[Type],Types[Pairs])</f>
        <v>2</v>
      </c>
      <c r="Q53" t="str">
        <f>TEXT(Games[[#This Row],[Price]],"$#,##0.00")&amp;" ("&amp;Games[[#This Row],[GamePairs]]*2&amp;")"</f>
        <v>$57.00 (4)</v>
      </c>
      <c r="R53" s="23">
        <v>40</v>
      </c>
      <c r="S53" s="15"/>
      <c r="T53" cm="1">
        <f t="array" aca="1" ref="T53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40.000002644109173</v>
      </c>
      <c r="U53" cm="1">
        <f t="array" aca="1" ref="U53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2.6441091709859568E-6</v>
      </c>
      <c r="V53">
        <f ca="1">_xlfn.RANK.EQ(Games[[#This Row],[Sort]],Games[Sort],1)</f>
        <v>40</v>
      </c>
      <c r="W53" t="str">
        <f>IF(ISNUMBER(Games[[#This Row],[QuadRank]]),_xlfn.RANK.EQ(Games[[#This Row],[QuadSort]],Games[QuadSort],1),"")</f>
        <v/>
      </c>
      <c r="X53" s="5"/>
      <c r="Y53" s="5"/>
    </row>
    <row r="54" spans="2:25" x14ac:dyDescent="0.25">
      <c r="J54" s="7" t="str">
        <f t="shared" si="1"/>
        <v>Wed</v>
      </c>
      <c r="K54" s="11">
        <v>46225</v>
      </c>
      <c r="L54" s="9">
        <v>0.52777777777777779</v>
      </c>
      <c r="M54" t="s">
        <v>21</v>
      </c>
      <c r="N54" t="s">
        <v>70</v>
      </c>
      <c r="O54" s="14">
        <f>_xlfn.XLOOKUP(Games[[#This Row],[Type]],Types[Type],Types[Price])</f>
        <v>69</v>
      </c>
      <c r="P54">
        <f>_xlfn.XLOOKUP(Games[[#This Row],[Type]],Types[Type],Types[Pairs])</f>
        <v>2</v>
      </c>
      <c r="Q54" t="str">
        <f>TEXT(Games[[#This Row],[Price]],"$#,##0.00")&amp;" ("&amp;Games[[#This Row],[GamePairs]]*2&amp;")"</f>
        <v>$69.00 (4)</v>
      </c>
      <c r="R54" s="23">
        <v>29</v>
      </c>
      <c r="S54" s="15"/>
      <c r="T54" cm="1">
        <f t="array" aca="1" ref="T54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29.000001848097526</v>
      </c>
      <c r="U54" cm="1">
        <f t="array" aca="1" ref="U54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1.8480975257411396E-6</v>
      </c>
      <c r="V54">
        <f ca="1">_xlfn.RANK.EQ(Games[[#This Row],[Sort]],Games[Sort],1)</f>
        <v>29</v>
      </c>
      <c r="W54" t="str">
        <f>IF(ISNUMBER(Games[[#This Row],[QuadRank]]),_xlfn.RANK.EQ(Games[[#This Row],[QuadSort]],Games[QuadSort],1),"")</f>
        <v/>
      </c>
      <c r="X54" s="5"/>
      <c r="Y54" s="5"/>
    </row>
    <row r="55" spans="2:25" x14ac:dyDescent="0.25">
      <c r="J55" s="7" t="str">
        <f t="shared" si="1"/>
        <v>Fri</v>
      </c>
      <c r="K55" s="11">
        <v>46234</v>
      </c>
      <c r="L55" s="9">
        <v>0.79861111111111116</v>
      </c>
      <c r="M55" t="s">
        <v>22</v>
      </c>
      <c r="N55" t="s">
        <v>69</v>
      </c>
      <c r="O55" s="14">
        <f>_xlfn.XLOOKUP(Games[[#This Row],[Type]],Types[Type],Types[Price])</f>
        <v>90</v>
      </c>
      <c r="P55">
        <f>_xlfn.XLOOKUP(Games[[#This Row],[Type]],Types[Type],Types[Pairs])</f>
        <v>2</v>
      </c>
      <c r="Q55" t="str">
        <f>TEXT(Games[[#This Row],[Price]],"$#,##0.00")&amp;" ("&amp;Games[[#This Row],[GamePairs]]*2&amp;")"</f>
        <v>$90.00 (4)</v>
      </c>
      <c r="R55" s="23">
        <v>64</v>
      </c>
      <c r="S55" s="15"/>
      <c r="T55" cm="1">
        <f t="array" aca="1" ref="T55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64.000001119263786</v>
      </c>
      <c r="U55" cm="1">
        <f t="array" aca="1" ref="U55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1.119263791670538E-6</v>
      </c>
      <c r="V55">
        <f ca="1">_xlfn.RANK.EQ(Games[[#This Row],[Sort]],Games[Sort],1)</f>
        <v>64</v>
      </c>
      <c r="W55" t="str">
        <f>IF(ISNUMBER(Games[[#This Row],[QuadRank]]),_xlfn.RANK.EQ(Games[[#This Row],[QuadSort]],Games[QuadSort],1),"")</f>
        <v/>
      </c>
      <c r="X55" s="5" t="s">
        <v>59</v>
      </c>
      <c r="Y55" s="5"/>
    </row>
    <row r="56" spans="2:25" x14ac:dyDescent="0.25">
      <c r="J56" s="7" t="str">
        <f t="shared" si="1"/>
        <v>Sat</v>
      </c>
      <c r="K56" s="11">
        <v>46235</v>
      </c>
      <c r="L56" s="9">
        <v>0.54861111111111116</v>
      </c>
      <c r="M56" t="s">
        <v>22</v>
      </c>
      <c r="N56" t="s">
        <v>69</v>
      </c>
      <c r="O56" s="14">
        <f>_xlfn.XLOOKUP(Games[[#This Row],[Type]],Types[Type],Types[Price])</f>
        <v>90</v>
      </c>
      <c r="P56">
        <f>_xlfn.XLOOKUP(Games[[#This Row],[Type]],Types[Type],Types[Pairs])</f>
        <v>2</v>
      </c>
      <c r="Q56" t="str">
        <f>TEXT(Games[[#This Row],[Price]],"$#,##0.00")&amp;" ("&amp;Games[[#This Row],[GamePairs]]*2&amp;")"</f>
        <v>$90.00 (4)</v>
      </c>
      <c r="R56" s="23">
        <v>63</v>
      </c>
      <c r="S56" s="15"/>
      <c r="T56" cm="1">
        <f t="array" aca="1" ref="T56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63.000000323252145</v>
      </c>
      <c r="U56" cm="1">
        <f t="array" aca="1" ref="U56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3.2325214642572076E-7</v>
      </c>
      <c r="V56">
        <f ca="1">_xlfn.RANK.EQ(Games[[#This Row],[Sort]],Games[Sort],1)</f>
        <v>63</v>
      </c>
      <c r="W56" t="str">
        <f>IF(ISNUMBER(Games[[#This Row],[QuadRank]]),_xlfn.RANK.EQ(Games[[#This Row],[QuadSort]],Games[QuadSort],1),"")</f>
        <v/>
      </c>
      <c r="X56" s="5" t="s">
        <v>60</v>
      </c>
      <c r="Y56" s="5"/>
    </row>
    <row r="57" spans="2:25" x14ac:dyDescent="0.25">
      <c r="J57" s="7" t="str">
        <f t="shared" si="1"/>
        <v>Sun</v>
      </c>
      <c r="K57" s="11">
        <v>46236</v>
      </c>
      <c r="L57" s="9">
        <v>0.54861111111111116</v>
      </c>
      <c r="M57" t="s">
        <v>22</v>
      </c>
      <c r="N57" t="s">
        <v>69</v>
      </c>
      <c r="O57" s="14">
        <f>_xlfn.XLOOKUP(Games[[#This Row],[Type]],Types[Type],Types[Price])</f>
        <v>90</v>
      </c>
      <c r="P57">
        <f>_xlfn.XLOOKUP(Games[[#This Row],[Type]],Types[Type],Types[Pairs])</f>
        <v>2</v>
      </c>
      <c r="Q57" t="str">
        <f>TEXT(Games[[#This Row],[Price]],"$#,##0.00")&amp;" ("&amp;Games[[#This Row],[GamePairs]]*2&amp;")"</f>
        <v>$90.00 (4)</v>
      </c>
      <c r="R57" s="23">
        <v>62</v>
      </c>
      <c r="S57" s="15"/>
      <c r="T57" cm="1">
        <f t="array" aca="1" ref="T57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62.000000782091803</v>
      </c>
      <c r="U57" cm="1">
        <f t="array" aca="1" ref="U57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7.8209180525210625E-7</v>
      </c>
      <c r="V57">
        <f ca="1">_xlfn.RANK.EQ(Games[[#This Row],[Sort]],Games[Sort],1)</f>
        <v>62</v>
      </c>
      <c r="W57" t="str">
        <f>IF(ISNUMBER(Games[[#This Row],[QuadRank]]),_xlfn.RANK.EQ(Games[[#This Row],[QuadSort]],Games[QuadSort],1),"")</f>
        <v/>
      </c>
      <c r="X57" s="5"/>
      <c r="Y57" s="5"/>
    </row>
    <row r="58" spans="2:25" x14ac:dyDescent="0.25">
      <c r="J58" s="7" t="str">
        <f t="shared" si="1"/>
        <v>Tue</v>
      </c>
      <c r="K58" s="11">
        <v>46238</v>
      </c>
      <c r="L58" s="9">
        <v>0.77777777777777779</v>
      </c>
      <c r="M58" t="s">
        <v>23</v>
      </c>
      <c r="N58" t="s">
        <v>72</v>
      </c>
      <c r="O58" s="14">
        <f>_xlfn.XLOOKUP(Games[[#This Row],[Type]],Types[Type],Types[Price])</f>
        <v>57</v>
      </c>
      <c r="P58">
        <f>_xlfn.XLOOKUP(Games[[#This Row],[Type]],Types[Type],Types[Pairs])</f>
        <v>2</v>
      </c>
      <c r="Q58" t="str">
        <f>TEXT(Games[[#This Row],[Price]],"$#,##0.00")&amp;" ("&amp;Games[[#This Row],[GamePairs]]*2&amp;")"</f>
        <v>$57.00 (4)</v>
      </c>
      <c r="R58" s="23">
        <v>61</v>
      </c>
      <c r="S58" s="15"/>
      <c r="T58" cm="1">
        <f t="array" aca="1" ref="T58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61.000000443094358</v>
      </c>
      <c r="U58" cm="1">
        <f t="array" aca="1" ref="U58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4.4309435578139679E-7</v>
      </c>
      <c r="V58">
        <f ca="1">_xlfn.RANK.EQ(Games[[#This Row],[Sort]],Games[Sort],1)</f>
        <v>61</v>
      </c>
      <c r="W58" t="str">
        <f>IF(ISNUMBER(Games[[#This Row],[QuadRank]]),_xlfn.RANK.EQ(Games[[#This Row],[QuadSort]],Games[QuadSort],1),"")</f>
        <v/>
      </c>
      <c r="X58" s="5"/>
      <c r="Y58" s="5"/>
    </row>
    <row r="59" spans="2:25" x14ac:dyDescent="0.25">
      <c r="J59" s="7" t="str">
        <f t="shared" si="1"/>
        <v>Wed</v>
      </c>
      <c r="K59" s="11">
        <v>46239</v>
      </c>
      <c r="L59" s="9">
        <v>0.77777777777777779</v>
      </c>
      <c r="M59" t="s">
        <v>23</v>
      </c>
      <c r="N59" t="s">
        <v>72</v>
      </c>
      <c r="O59" s="14">
        <f>_xlfn.XLOOKUP(Games[[#This Row],[Type]],Types[Type],Types[Price])</f>
        <v>57</v>
      </c>
      <c r="P59">
        <f>_xlfn.XLOOKUP(Games[[#This Row],[Type]],Types[Type],Types[Pairs])</f>
        <v>2</v>
      </c>
      <c r="Q59" t="str">
        <f>TEXT(Games[[#This Row],[Price]],"$#,##0.00")&amp;" ("&amp;Games[[#This Row],[GamePairs]]*2&amp;")"</f>
        <v>$57.00 (4)</v>
      </c>
      <c r="R59" s="23">
        <v>60</v>
      </c>
      <c r="S59" s="15"/>
      <c r="T59" cm="1">
        <f t="array" aca="1" ref="T59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60.000000901934015</v>
      </c>
      <c r="U59" cm="1">
        <f t="array" aca="1" ref="U59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9.0193401460778228E-7</v>
      </c>
      <c r="V59">
        <f ca="1">_xlfn.RANK.EQ(Games[[#This Row],[Sort]],Games[Sort],1)</f>
        <v>60</v>
      </c>
      <c r="W59" t="str">
        <f>IF(ISNUMBER(Games[[#This Row],[QuadRank]]),_xlfn.RANK.EQ(Games[[#This Row],[QuadSort]],Games[QuadSort],1),"")</f>
        <v/>
      </c>
      <c r="X59" s="5"/>
      <c r="Y59" s="5"/>
    </row>
    <row r="60" spans="2:25" x14ac:dyDescent="0.25">
      <c r="J60" s="7" t="str">
        <f t="shared" si="1"/>
        <v>Thu</v>
      </c>
      <c r="K60" s="11">
        <v>46240</v>
      </c>
      <c r="L60" s="9">
        <v>0.54861111111111116</v>
      </c>
      <c r="M60" t="s">
        <v>23</v>
      </c>
      <c r="N60" t="s">
        <v>72</v>
      </c>
      <c r="O60" s="14">
        <f>_xlfn.XLOOKUP(Games[[#This Row],[Type]],Types[Type],Types[Price])</f>
        <v>57</v>
      </c>
      <c r="P60">
        <f>_xlfn.XLOOKUP(Games[[#This Row],[Type]],Types[Type],Types[Pairs])</f>
        <v>2</v>
      </c>
      <c r="Q60" t="str">
        <f>TEXT(Games[[#This Row],[Price]],"$#,##0.00")&amp;" ("&amp;Games[[#This Row],[GamePairs]]*2&amp;")"</f>
        <v>$57.00 (4)</v>
      </c>
      <c r="R60" s="23">
        <v>59</v>
      </c>
      <c r="S60" s="15"/>
      <c r="T60" cm="1">
        <f t="array" aca="1" ref="T60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59.000002211858487</v>
      </c>
      <c r="U60" cm="1">
        <f t="array" aca="1" ref="U60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2.2118584839754726E-6</v>
      </c>
      <c r="V60">
        <f ca="1">_xlfn.RANK.EQ(Games[[#This Row],[Sort]],Games[Sort],1)</f>
        <v>59</v>
      </c>
      <c r="W60" t="str">
        <f>IF(ISNUMBER(Games[[#This Row],[QuadRank]]),_xlfn.RANK.EQ(Games[[#This Row],[QuadSort]],Games[QuadSort],1),"")</f>
        <v/>
      </c>
      <c r="X60" s="5"/>
      <c r="Y60" s="5"/>
    </row>
    <row r="61" spans="2:25" x14ac:dyDescent="0.25">
      <c r="J61" s="7" t="str">
        <f t="shared" si="1"/>
        <v>Fri</v>
      </c>
      <c r="K61" s="11">
        <v>46241</v>
      </c>
      <c r="L61" s="9">
        <v>0.79861111111111116</v>
      </c>
      <c r="M61" t="s">
        <v>24</v>
      </c>
      <c r="N61" t="s">
        <v>69</v>
      </c>
      <c r="O61" s="14">
        <f>_xlfn.XLOOKUP(Games[[#This Row],[Type]],Types[Type],Types[Price])</f>
        <v>90</v>
      </c>
      <c r="P61">
        <f>_xlfn.XLOOKUP(Games[[#This Row],[Type]],Types[Type],Types[Pairs])</f>
        <v>2</v>
      </c>
      <c r="Q61" t="str">
        <f>TEXT(Games[[#This Row],[Price]],"$#,##0.00")&amp;" ("&amp;Games[[#This Row],[GamePairs]]*2&amp;")"</f>
        <v>$90.00 (4)</v>
      </c>
      <c r="R61" s="23">
        <v>21</v>
      </c>
      <c r="S61" s="15"/>
      <c r="T61" cm="1">
        <f t="array" aca="1" ref="T61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21.000001185823418</v>
      </c>
      <c r="U61" cm="1">
        <f t="array" aca="1" ref="U61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1.1858234194758003E-6</v>
      </c>
      <c r="V61">
        <f ca="1">_xlfn.RANK.EQ(Games[[#This Row],[Sort]],Games[Sort],1)</f>
        <v>21</v>
      </c>
      <c r="W61" t="str">
        <f>IF(ISNUMBER(Games[[#This Row],[QuadRank]]),_xlfn.RANK.EQ(Games[[#This Row],[QuadSort]],Games[QuadSort],1),"")</f>
        <v/>
      </c>
      <c r="X61" s="5"/>
      <c r="Y61" s="5"/>
    </row>
    <row r="62" spans="2:25" x14ac:dyDescent="0.25">
      <c r="J62" s="7" t="str">
        <f t="shared" si="1"/>
        <v>Sat</v>
      </c>
      <c r="K62" s="11">
        <v>46242</v>
      </c>
      <c r="L62" s="9">
        <v>0.78472222222222221</v>
      </c>
      <c r="M62" t="s">
        <v>24</v>
      </c>
      <c r="N62" t="s">
        <v>69</v>
      </c>
      <c r="O62" s="14">
        <f>_xlfn.XLOOKUP(Games[[#This Row],[Type]],Types[Type],Types[Price])</f>
        <v>90</v>
      </c>
      <c r="P62">
        <f>_xlfn.XLOOKUP(Games[[#This Row],[Type]],Types[Type],Types[Pairs])</f>
        <v>2</v>
      </c>
      <c r="Q62" t="str">
        <f>TEXT(Games[[#This Row],[Price]],"$#,##0.00")&amp;" ("&amp;Games[[#This Row],[GamePairs]]*2&amp;")"</f>
        <v>$90.00 (4)</v>
      </c>
      <c r="R62" s="23">
        <v>6</v>
      </c>
      <c r="S62" s="15"/>
      <c r="T62" cm="1">
        <f t="array" aca="1" ref="T6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6.0000015317384667</v>
      </c>
      <c r="U62" cm="1">
        <f t="array" aca="1" ref="U62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1.5317384670297169E-6</v>
      </c>
      <c r="V62">
        <f ca="1">_xlfn.RANK.EQ(Games[[#This Row],[Sort]],Games[Sort],1)</f>
        <v>6</v>
      </c>
      <c r="W62" t="str">
        <f>IF(ISNUMBER(Games[[#This Row],[QuadRank]]),_xlfn.RANK.EQ(Games[[#This Row],[QuadSort]],Games[QuadSort],1),"")</f>
        <v/>
      </c>
      <c r="X62" s="5" t="s">
        <v>27</v>
      </c>
      <c r="Y62" s="5"/>
    </row>
    <row r="63" spans="2:25" x14ac:dyDescent="0.25">
      <c r="J63" s="7" t="str">
        <f t="shared" si="1"/>
        <v>Sun</v>
      </c>
      <c r="K63" s="11">
        <v>46243</v>
      </c>
      <c r="L63" s="9">
        <v>0.54861111111111116</v>
      </c>
      <c r="M63" t="s">
        <v>24</v>
      </c>
      <c r="N63" t="s">
        <v>69</v>
      </c>
      <c r="O63" s="14">
        <f>_xlfn.XLOOKUP(Games[[#This Row],[Type]],Types[Type],Types[Price])</f>
        <v>90</v>
      </c>
      <c r="P63">
        <f>_xlfn.XLOOKUP(Games[[#This Row],[Type]],Types[Type],Types[Pairs])</f>
        <v>2</v>
      </c>
      <c r="Q63" t="str">
        <f>TEXT(Games[[#This Row],[Price]],"$#,##0.00")&amp;" ("&amp;Games[[#This Row],[GamePairs]]*2&amp;")"</f>
        <v>$90.00 (4)</v>
      </c>
      <c r="R63" s="23">
        <v>5</v>
      </c>
      <c r="S63" s="15"/>
      <c r="T63" cm="1">
        <f t="array" aca="1" ref="T63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5.0000008486514327</v>
      </c>
      <c r="U63" cm="1">
        <f t="array" aca="1" ref="U63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8.4865143305736862E-7</v>
      </c>
      <c r="V63">
        <f ca="1">_xlfn.RANK.EQ(Games[[#This Row],[Sort]],Games[Sort],1)</f>
        <v>5</v>
      </c>
      <c r="W63" t="str">
        <f>IF(ISNUMBER(Games[[#This Row],[QuadRank]]),_xlfn.RANK.EQ(Games[[#This Row],[QuadSort]],Games[QuadSort],1),"")</f>
        <v/>
      </c>
      <c r="X63" s="5" t="s">
        <v>61</v>
      </c>
      <c r="Y63" s="5"/>
    </row>
    <row r="64" spans="2:25" x14ac:dyDescent="0.25">
      <c r="J64" s="7" t="str">
        <f t="shared" si="1"/>
        <v>Fri</v>
      </c>
      <c r="K64" s="11">
        <v>46255</v>
      </c>
      <c r="L64" s="9">
        <v>0.79861111111111116</v>
      </c>
      <c r="M64" t="s">
        <v>25</v>
      </c>
      <c r="N64" t="s">
        <v>70</v>
      </c>
      <c r="O64" s="14">
        <f>_xlfn.XLOOKUP(Games[[#This Row],[Type]],Types[Type],Types[Price])</f>
        <v>69</v>
      </c>
      <c r="P64">
        <f>_xlfn.XLOOKUP(Games[[#This Row],[Type]],Types[Type],Types[Pairs])</f>
        <v>2</v>
      </c>
      <c r="Q64" t="str">
        <f>TEXT(Games[[#This Row],[Price]],"$#,##0.00")&amp;" ("&amp;Games[[#This Row],[GamePairs]]*2&amp;")"</f>
        <v>$69.00 (4)</v>
      </c>
      <c r="R64" s="23">
        <v>20</v>
      </c>
      <c r="S64" s="15"/>
      <c r="T64" cm="1">
        <f t="array" aca="1" ref="T64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20.000001724534631</v>
      </c>
      <c r="U64" cm="1">
        <f t="array" aca="1" ref="U64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1.7245346316685008E-6</v>
      </c>
      <c r="V64">
        <f ca="1">_xlfn.RANK.EQ(Games[[#This Row],[Sort]],Games[Sort],1)</f>
        <v>20</v>
      </c>
      <c r="W64" t="str">
        <f>IF(ISNUMBER(Games[[#This Row],[QuadRank]]),_xlfn.RANK.EQ(Games[[#This Row],[QuadSort]],Games[QuadSort],1),"")</f>
        <v/>
      </c>
      <c r="X64" s="5" t="s">
        <v>52</v>
      </c>
      <c r="Y64" s="5"/>
    </row>
    <row r="65" spans="10:25" x14ac:dyDescent="0.25">
      <c r="J65" s="7" t="str">
        <f t="shared" si="1"/>
        <v>Sat</v>
      </c>
      <c r="K65" s="11">
        <v>46256</v>
      </c>
      <c r="L65" s="9">
        <v>0.77777777777777779</v>
      </c>
      <c r="M65" t="s">
        <v>25</v>
      </c>
      <c r="N65" t="s">
        <v>70</v>
      </c>
      <c r="O65" s="14">
        <f>_xlfn.XLOOKUP(Games[[#This Row],[Type]],Types[Type],Types[Price])</f>
        <v>69</v>
      </c>
      <c r="P65">
        <f>_xlfn.XLOOKUP(Games[[#This Row],[Type]],Types[Type],Types[Pairs])</f>
        <v>2</v>
      </c>
      <c r="Q65" t="str">
        <f>TEXT(Games[[#This Row],[Price]],"$#,##0.00")&amp;" ("&amp;Games[[#This Row],[GamePairs]]*2&amp;")"</f>
        <v>$69.00 (4)</v>
      </c>
      <c r="R65" s="23">
        <v>4</v>
      </c>
      <c r="S65" s="15"/>
      <c r="T65" cm="1">
        <f t="array" aca="1" ref="T65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4.0000024115722468</v>
      </c>
      <c r="U65" cm="1">
        <f t="array" aca="1" ref="U65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2.4115722466974633E-6</v>
      </c>
      <c r="V65">
        <f ca="1">_xlfn.RANK.EQ(Games[[#This Row],[Sort]],Games[Sort],1)</f>
        <v>4</v>
      </c>
      <c r="W65" t="str">
        <f>IF(ISNUMBER(Games[[#This Row],[QuadRank]]),_xlfn.RANK.EQ(Games[[#This Row],[QuadSort]],Games[QuadSort],1),"")</f>
        <v/>
      </c>
      <c r="X65" s="5"/>
      <c r="Y65" s="5"/>
    </row>
    <row r="66" spans="10:25" x14ac:dyDescent="0.25">
      <c r="J66" s="7" t="str">
        <f t="shared" ref="J66:J82" si="2">TEXT(K66, "ddd")</f>
        <v>Sun</v>
      </c>
      <c r="K66" s="11">
        <v>46257</v>
      </c>
      <c r="L66" s="9">
        <v>0.54861111111111116</v>
      </c>
      <c r="M66" t="s">
        <v>25</v>
      </c>
      <c r="N66" t="s">
        <v>70</v>
      </c>
      <c r="O66" s="14">
        <f>_xlfn.XLOOKUP(Games[[#This Row],[Type]],Types[Type],Types[Price])</f>
        <v>69</v>
      </c>
      <c r="P66">
        <f>_xlfn.XLOOKUP(Games[[#This Row],[Type]],Types[Type],Types[Pairs])</f>
        <v>2</v>
      </c>
      <c r="Q66" t="str">
        <f>TEXT(Games[[#This Row],[Price]],"$#,##0.00")&amp;" ("&amp;Games[[#This Row],[GamePairs]]*2&amp;")"</f>
        <v>$69.00 (4)</v>
      </c>
      <c r="R66" s="23">
        <v>3</v>
      </c>
      <c r="S66" s="15"/>
      <c r="T66" cm="1">
        <f t="array" aca="1" ref="T66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3.0000013873626452</v>
      </c>
      <c r="U66" cm="1">
        <f t="array" aca="1" ref="U66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1.3873626452500689E-6</v>
      </c>
      <c r="V66">
        <f ca="1">_xlfn.RANK.EQ(Games[[#This Row],[Sort]],Games[Sort],1)</f>
        <v>3</v>
      </c>
      <c r="W66" t="str">
        <f>IF(ISNUMBER(Games[[#This Row],[QuadRank]]),_xlfn.RANK.EQ(Games[[#This Row],[QuadSort]],Games[QuadSort],1),"")</f>
        <v/>
      </c>
      <c r="X66" s="5" t="s">
        <v>62</v>
      </c>
      <c r="Y66" s="5"/>
    </row>
    <row r="67" spans="10:25" x14ac:dyDescent="0.25">
      <c r="J67" s="7" t="str">
        <f t="shared" si="2"/>
        <v>Mon</v>
      </c>
      <c r="K67" s="11">
        <v>46258</v>
      </c>
      <c r="L67" s="9">
        <v>0.77777777777777779</v>
      </c>
      <c r="M67" t="s">
        <v>26</v>
      </c>
      <c r="N67" t="s">
        <v>70</v>
      </c>
      <c r="O67" s="14">
        <f>_xlfn.XLOOKUP(Games[[#This Row],[Type]],Types[Type],Types[Price])</f>
        <v>69</v>
      </c>
      <c r="P67">
        <f>_xlfn.XLOOKUP(Games[[#This Row],[Type]],Types[Type],Types[Pairs])</f>
        <v>2</v>
      </c>
      <c r="Q67" t="str">
        <f>TEXT(Games[[#This Row],[Price]],"$#,##0.00")&amp;" ("&amp;Games[[#This Row],[GamePairs]]*2&amp;")"</f>
        <v>$69.00 (4)</v>
      </c>
      <c r="R67" s="23">
        <v>39</v>
      </c>
      <c r="S67" s="15"/>
      <c r="T67" cm="1">
        <f t="array" aca="1" ref="T67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39.000000589525534</v>
      </c>
      <c r="U67" cm="1">
        <f t="array" aca="1" ref="U67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5.8952553695297402E-7</v>
      </c>
      <c r="V67">
        <f ca="1">_xlfn.RANK.EQ(Games[[#This Row],[Sort]],Games[Sort],1)</f>
        <v>39</v>
      </c>
      <c r="W67" t="str">
        <f>IF(ISNUMBER(Games[[#This Row],[QuadRank]]),_xlfn.RANK.EQ(Games[[#This Row],[QuadSort]],Games[QuadSort],1),"")</f>
        <v/>
      </c>
      <c r="X67" s="5" t="s">
        <v>63</v>
      </c>
      <c r="Y67" s="5"/>
    </row>
    <row r="68" spans="10:25" x14ac:dyDescent="0.25">
      <c r="J68" s="7" t="str">
        <f t="shared" si="2"/>
        <v>Tue</v>
      </c>
      <c r="K68" s="11">
        <v>46259</v>
      </c>
      <c r="L68" s="9">
        <v>0.77777777777777779</v>
      </c>
      <c r="M68" t="s">
        <v>26</v>
      </c>
      <c r="N68" t="s">
        <v>70</v>
      </c>
      <c r="O68" s="14">
        <f>_xlfn.XLOOKUP(Games[[#This Row],[Type]],Types[Type],Types[Price])</f>
        <v>69</v>
      </c>
      <c r="P68">
        <f>_xlfn.XLOOKUP(Games[[#This Row],[Type]],Types[Type],Types[Pairs])</f>
        <v>2</v>
      </c>
      <c r="Q68" t="str">
        <f>TEXT(Games[[#This Row],[Price]],"$#,##0.00")&amp;" ("&amp;Games[[#This Row],[GamePairs]]*2&amp;")"</f>
        <v>$69.00 (4)</v>
      </c>
      <c r="R68" s="23">
        <v>38</v>
      </c>
      <c r="S68" s="15"/>
      <c r="T68" cm="1">
        <f t="array" aca="1" ref="T68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38.000001048365199</v>
      </c>
      <c r="U68" cm="1">
        <f t="array" aca="1" ref="U68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1.0483651957793595E-6</v>
      </c>
      <c r="V68">
        <f ca="1">_xlfn.RANK.EQ(Games[[#This Row],[Sort]],Games[Sort],1)</f>
        <v>38</v>
      </c>
      <c r="W68" t="str">
        <f>IF(ISNUMBER(Games[[#This Row],[QuadRank]]),_xlfn.RANK.EQ(Games[[#This Row],[QuadSort]],Games[QuadSort],1),"")</f>
        <v/>
      </c>
      <c r="X68" s="5"/>
      <c r="Y68" s="5"/>
    </row>
    <row r="69" spans="10:25" x14ac:dyDescent="0.25">
      <c r="J69" s="7" t="str">
        <f t="shared" si="2"/>
        <v>Wed</v>
      </c>
      <c r="K69" s="11">
        <v>46260</v>
      </c>
      <c r="L69" s="9">
        <v>0.54861111111111116</v>
      </c>
      <c r="M69" t="s">
        <v>26</v>
      </c>
      <c r="N69" t="s">
        <v>70</v>
      </c>
      <c r="O69" s="14">
        <f>_xlfn.XLOOKUP(Games[[#This Row],[Type]],Types[Type],Types[Price])</f>
        <v>69</v>
      </c>
      <c r="P69">
        <f>_xlfn.XLOOKUP(Games[[#This Row],[Type]],Types[Type],Types[Pairs])</f>
        <v>2</v>
      </c>
      <c r="Q69" t="str">
        <f>TEXT(Games[[#This Row],[Price]],"$#,##0.00")&amp;" ("&amp;Games[[#This Row],[GamePairs]]*2&amp;")"</f>
        <v>$69.00 (4)</v>
      </c>
      <c r="R69" s="23">
        <v>28</v>
      </c>
      <c r="S69" s="15"/>
      <c r="T69" cm="1">
        <f t="array" aca="1" ref="T69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28.000002358289667</v>
      </c>
      <c r="U69" cm="1">
        <f t="array" aca="1" ref="U69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2.3582896651470496E-6</v>
      </c>
      <c r="V69">
        <f ca="1">_xlfn.RANK.EQ(Games[[#This Row],[Sort]],Games[Sort],1)</f>
        <v>28</v>
      </c>
      <c r="W69" t="str">
        <f>IF(ISNUMBER(Games[[#This Row],[QuadRank]]),_xlfn.RANK.EQ(Games[[#This Row],[QuadSort]],Games[QuadSort],1),"")</f>
        <v/>
      </c>
      <c r="X69" s="5"/>
      <c r="Y69" s="5"/>
    </row>
    <row r="70" spans="10:25" x14ac:dyDescent="0.25">
      <c r="J70" s="7" t="str">
        <f t="shared" si="2"/>
        <v>Thu</v>
      </c>
      <c r="K70" s="11">
        <v>46268</v>
      </c>
      <c r="L70" s="9">
        <v>0.77777777777777779</v>
      </c>
      <c r="M70" t="s">
        <v>9</v>
      </c>
      <c r="N70" t="s">
        <v>72</v>
      </c>
      <c r="O70" s="14">
        <f>_xlfn.XLOOKUP(Games[[#This Row],[Type]],Types[Type],Types[Price])</f>
        <v>57</v>
      </c>
      <c r="P70">
        <f>_xlfn.XLOOKUP(Games[[#This Row],[Type]],Types[Type],Types[Pairs])</f>
        <v>2</v>
      </c>
      <c r="Q70" t="str">
        <f>TEXT(Games[[#This Row],[Price]],"$#,##0.00")&amp;" ("&amp;Games[[#This Row],[GamePairs]]*2&amp;")"</f>
        <v>$57.00 (4)</v>
      </c>
      <c r="R70" s="23">
        <v>58</v>
      </c>
      <c r="S70" s="15"/>
      <c r="T70" cm="1">
        <f t="array" aca="1" ref="T70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58.000002032604144</v>
      </c>
      <c r="U70" cm="1">
        <f t="array" aca="1" ref="U70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2.0326041412373928E-6</v>
      </c>
      <c r="V70">
        <f ca="1">_xlfn.RANK.EQ(Games[[#This Row],[Sort]],Games[Sort],1)</f>
        <v>58</v>
      </c>
      <c r="W70" t="str">
        <f>IF(ISNUMBER(Games[[#This Row],[QuadRank]]),_xlfn.RANK.EQ(Games[[#This Row],[QuadSort]],Games[QuadSort],1),"")</f>
        <v/>
      </c>
      <c r="X70" s="5"/>
      <c r="Y70" s="5"/>
    </row>
    <row r="71" spans="10:25" x14ac:dyDescent="0.25">
      <c r="J71" s="7" t="str">
        <f t="shared" si="2"/>
        <v>Fri</v>
      </c>
      <c r="K71" s="11">
        <v>46269</v>
      </c>
      <c r="L71" s="9">
        <v>0.79861111111111116</v>
      </c>
      <c r="M71" t="s">
        <v>9</v>
      </c>
      <c r="N71" t="s">
        <v>72</v>
      </c>
      <c r="O71" s="14">
        <f>_xlfn.XLOOKUP(Games[[#This Row],[Type]],Types[Type],Types[Price])</f>
        <v>57</v>
      </c>
      <c r="P71">
        <f>_xlfn.XLOOKUP(Games[[#This Row],[Type]],Types[Type],Types[Pairs])</f>
        <v>2</v>
      </c>
      <c r="Q71" t="str">
        <f>TEXT(Games[[#This Row],[Price]],"$#,##0.00")&amp;" ("&amp;Games[[#This Row],[GamePairs]]*2&amp;")"</f>
        <v>$57.00 (4)</v>
      </c>
      <c r="R71" s="23">
        <v>57</v>
      </c>
      <c r="S71" s="15"/>
      <c r="T71" cm="1">
        <f t="array" aca="1" ref="T71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57.000002263245847</v>
      </c>
      <c r="U71" cm="1">
        <f t="array" aca="1" ref="U71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2.263245843861201E-6</v>
      </c>
      <c r="V71">
        <f ca="1">_xlfn.RANK.EQ(Games[[#This Row],[Sort]],Games[Sort],1)</f>
        <v>57</v>
      </c>
      <c r="W71" t="str">
        <f>IF(ISNUMBER(Games[[#This Row],[QuadRank]]),_xlfn.RANK.EQ(Games[[#This Row],[QuadSort]],Games[QuadSort],1),"")</f>
        <v/>
      </c>
      <c r="X71" s="5" t="s">
        <v>64</v>
      </c>
      <c r="Y71" s="5"/>
    </row>
    <row r="72" spans="10:25" x14ac:dyDescent="0.25">
      <c r="J72" s="7" t="str">
        <f t="shared" si="2"/>
        <v>Sat</v>
      </c>
      <c r="K72" s="11">
        <v>46270</v>
      </c>
      <c r="L72" s="9">
        <v>0.77777777777777779</v>
      </c>
      <c r="M72" t="s">
        <v>9</v>
      </c>
      <c r="N72" t="s">
        <v>72</v>
      </c>
      <c r="O72" s="14">
        <f>_xlfn.XLOOKUP(Games[[#This Row],[Type]],Types[Type],Types[Price])</f>
        <v>57</v>
      </c>
      <c r="P72">
        <f>_xlfn.XLOOKUP(Games[[#This Row],[Type]],Types[Type],Types[Pairs])</f>
        <v>2</v>
      </c>
      <c r="Q72" t="str">
        <f>TEXT(Games[[#This Row],[Price]],"$#,##0.00")&amp;" ("&amp;Games[[#This Row],[GamePairs]]*2&amp;")"</f>
        <v>$57.00 (4)</v>
      </c>
      <c r="R72" s="23">
        <v>56</v>
      </c>
      <c r="S72" s="15"/>
      <c r="T72" cm="1">
        <f t="array" aca="1" ref="T7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56.000002544691505</v>
      </c>
      <c r="U72" cm="1">
        <f t="array" aca="1" ref="U72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2.5446915023079882E-6</v>
      </c>
      <c r="V72">
        <f ca="1">_xlfn.RANK.EQ(Games[[#This Row],[Sort]],Games[Sort],1)</f>
        <v>56</v>
      </c>
      <c r="W72" t="str">
        <f>IF(ISNUMBER(Games[[#This Row],[QuadRank]]),_xlfn.RANK.EQ(Games[[#This Row],[QuadSort]],Games[QuadSort],1),"")</f>
        <v/>
      </c>
      <c r="X72" s="5" t="s">
        <v>65</v>
      </c>
      <c r="Y72" s="5"/>
    </row>
    <row r="73" spans="10:25" x14ac:dyDescent="0.25">
      <c r="J73" s="7" t="str">
        <f t="shared" si="2"/>
        <v>Sun</v>
      </c>
      <c r="K73" s="11">
        <v>46271</v>
      </c>
      <c r="L73" s="9">
        <v>0.54861111111111116</v>
      </c>
      <c r="M73" t="s">
        <v>9</v>
      </c>
      <c r="N73" t="s">
        <v>72</v>
      </c>
      <c r="O73" s="14">
        <f>_xlfn.XLOOKUP(Games[[#This Row],[Type]],Types[Type],Types[Price])</f>
        <v>57</v>
      </c>
      <c r="P73">
        <f>_xlfn.XLOOKUP(Games[[#This Row],[Type]],Types[Type],Types[Pairs])</f>
        <v>2</v>
      </c>
      <c r="Q73" t="str">
        <f>TEXT(Games[[#This Row],[Price]],"$#,##0.00")&amp;" ("&amp;Games[[#This Row],[GamePairs]]*2&amp;")"</f>
        <v>$57.00 (4)</v>
      </c>
      <c r="R73" s="23">
        <v>55</v>
      </c>
      <c r="S73" s="15"/>
      <c r="T73" cm="1">
        <f t="array" aca="1" ref="T73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55.000001520481902</v>
      </c>
      <c r="U73" cm="1">
        <f t="array" aca="1" ref="U73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1.5204819008605938E-6</v>
      </c>
      <c r="V73">
        <f ca="1">_xlfn.RANK.EQ(Games[[#This Row],[Sort]],Games[Sort],1)</f>
        <v>55</v>
      </c>
      <c r="W73" t="str">
        <f>IF(ISNUMBER(Games[[#This Row],[QuadRank]]),_xlfn.RANK.EQ(Games[[#This Row],[QuadSort]],Games[QuadSort],1),"")</f>
        <v/>
      </c>
      <c r="X73" s="5" t="s">
        <v>66</v>
      </c>
      <c r="Y73" s="5"/>
    </row>
    <row r="74" spans="10:25" x14ac:dyDescent="0.25">
      <c r="J74" s="7" t="str">
        <f t="shared" si="2"/>
        <v>Tue</v>
      </c>
      <c r="K74" s="11">
        <v>46273</v>
      </c>
      <c r="L74" s="9">
        <v>0.77777777777777779</v>
      </c>
      <c r="M74" t="s">
        <v>8</v>
      </c>
      <c r="N74" t="s">
        <v>70</v>
      </c>
      <c r="O74" s="14">
        <f>_xlfn.XLOOKUP(Games[[#This Row],[Type]],Types[Type],Types[Price])</f>
        <v>69</v>
      </c>
      <c r="P74">
        <f>_xlfn.XLOOKUP(Games[[#This Row],[Type]],Types[Type],Types[Pairs])</f>
        <v>2</v>
      </c>
      <c r="Q74" t="str">
        <f>TEXT(Games[[#This Row],[Price]],"$#,##0.00")&amp;" ("&amp;Games[[#This Row],[GamePairs]]*2&amp;")"</f>
        <v>$69.00 (4)</v>
      </c>
      <c r="R74" s="23">
        <v>54</v>
      </c>
      <c r="S74" s="15"/>
      <c r="T74" cm="1">
        <f t="array" aca="1" ref="T74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54.00000118148445</v>
      </c>
      <c r="U74" cm="1">
        <f t="array" aca="1" ref="U74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1.1814844513898843E-6</v>
      </c>
      <c r="V74">
        <f ca="1">_xlfn.RANK.EQ(Games[[#This Row],[Sort]],Games[Sort],1)</f>
        <v>54</v>
      </c>
      <c r="W74" t="str">
        <f>IF(ISNUMBER(Games[[#This Row],[QuadRank]]),_xlfn.RANK.EQ(Games[[#This Row],[QuadSort]],Games[QuadSort],1),"")</f>
        <v/>
      </c>
      <c r="X74" s="5" t="s">
        <v>67</v>
      </c>
      <c r="Y74" s="5"/>
    </row>
    <row r="75" spans="10:25" x14ac:dyDescent="0.25">
      <c r="J75" s="7" t="str">
        <f t="shared" si="2"/>
        <v>Wed</v>
      </c>
      <c r="K75" s="11">
        <v>46274</v>
      </c>
      <c r="L75" s="9">
        <v>0.77777777777777779</v>
      </c>
      <c r="M75" t="s">
        <v>8</v>
      </c>
      <c r="N75" t="s">
        <v>70</v>
      </c>
      <c r="O75" s="14">
        <f>_xlfn.XLOOKUP(Games[[#This Row],[Type]],Types[Type],Types[Price])</f>
        <v>69</v>
      </c>
      <c r="P75">
        <f>_xlfn.XLOOKUP(Games[[#This Row],[Type]],Types[Type],Types[Pairs])</f>
        <v>2</v>
      </c>
      <c r="Q75" t="str">
        <f>TEXT(Games[[#This Row],[Price]],"$#,##0.00")&amp;" ("&amp;Games[[#This Row],[GamePairs]]*2&amp;")"</f>
        <v>$69.00 (4)</v>
      </c>
      <c r="R75" s="23">
        <v>53</v>
      </c>
      <c r="S75" s="15"/>
      <c r="T75" cm="1">
        <f t="array" aca="1" ref="T75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53.000001640324108</v>
      </c>
      <c r="U75" cm="1">
        <f t="array" aca="1" ref="U75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1.6403241102162697E-6</v>
      </c>
      <c r="V75">
        <f ca="1">_xlfn.RANK.EQ(Games[[#This Row],[Sort]],Games[Sort],1)</f>
        <v>53</v>
      </c>
      <c r="W75" t="str">
        <f>IF(ISNUMBER(Games[[#This Row],[QuadRank]]),_xlfn.RANK.EQ(Games[[#This Row],[QuadSort]],Games[QuadSort],1),"")</f>
        <v/>
      </c>
      <c r="X75" s="5" t="s">
        <v>67</v>
      </c>
      <c r="Y75" s="5"/>
    </row>
    <row r="76" spans="10:25" x14ac:dyDescent="0.25">
      <c r="J76" s="7" t="str">
        <f t="shared" si="2"/>
        <v>Thu</v>
      </c>
      <c r="K76" s="11">
        <v>46275</v>
      </c>
      <c r="L76" s="9">
        <v>0.54861111111111116</v>
      </c>
      <c r="M76" t="s">
        <v>8</v>
      </c>
      <c r="N76" t="s">
        <v>70</v>
      </c>
      <c r="O76" s="14">
        <f>_xlfn.XLOOKUP(Games[[#This Row],[Type]],Types[Type],Types[Price])</f>
        <v>69</v>
      </c>
      <c r="P76">
        <f>_xlfn.XLOOKUP(Games[[#This Row],[Type]],Types[Type],Types[Pairs])</f>
        <v>2</v>
      </c>
      <c r="Q76" t="str">
        <f>TEXT(Games[[#This Row],[Price]],"$#,##0.00")&amp;" ("&amp;Games[[#This Row],[GamePairs]]*2&amp;")"</f>
        <v>$69.00 (4)</v>
      </c>
      <c r="R76" s="23">
        <v>52</v>
      </c>
      <c r="S76" s="15"/>
      <c r="T76" cm="1">
        <f t="array" aca="1" ref="T76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52.000000616114512</v>
      </c>
      <c r="U76" cm="1">
        <f t="array" aca="1" ref="U76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6.1611450876887533E-7</v>
      </c>
      <c r="V76">
        <f ca="1">_xlfn.RANK.EQ(Games[[#This Row],[Sort]],Games[Sort],1)</f>
        <v>52</v>
      </c>
      <c r="W76" t="str">
        <f>IF(ISNUMBER(Games[[#This Row],[QuadRank]]),_xlfn.RANK.EQ(Games[[#This Row],[QuadSort]],Games[QuadSort],1),"")</f>
        <v/>
      </c>
      <c r="X76" s="5" t="s">
        <v>67</v>
      </c>
      <c r="Y76" s="5"/>
    </row>
    <row r="77" spans="10:25" x14ac:dyDescent="0.25">
      <c r="J77" s="7" t="str">
        <f t="shared" si="2"/>
        <v>Tue</v>
      </c>
      <c r="K77" s="11">
        <v>46287</v>
      </c>
      <c r="L77" s="9">
        <v>0.77777777777777779</v>
      </c>
      <c r="M77" t="s">
        <v>7</v>
      </c>
      <c r="N77" t="s">
        <v>72</v>
      </c>
      <c r="O77" s="14">
        <f>_xlfn.XLOOKUP(Games[[#This Row],[Type]],Types[Type],Types[Price])</f>
        <v>57</v>
      </c>
      <c r="P77">
        <f>_xlfn.XLOOKUP(Games[[#This Row],[Type]],Types[Type],Types[Pairs])</f>
        <v>2</v>
      </c>
      <c r="Q77" t="str">
        <f>TEXT(Games[[#This Row],[Price]],"$#,##0.00")&amp;" ("&amp;Games[[#This Row],[GamePairs]]*2&amp;")"</f>
        <v>$57.00 (4)</v>
      </c>
      <c r="R77" s="23">
        <v>37</v>
      </c>
      <c r="S77" s="15"/>
      <c r="T77" cm="1">
        <f t="array" aca="1" ref="T77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37.000001720195662</v>
      </c>
      <c r="U77" cm="1">
        <f t="array" aca="1" ref="U77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1.7201956635825847E-6</v>
      </c>
      <c r="V77">
        <f ca="1">_xlfn.RANK.EQ(Games[[#This Row],[Sort]],Games[Sort],1)</f>
        <v>37</v>
      </c>
      <c r="W77" t="str">
        <f>IF(ISNUMBER(Games[[#This Row],[QuadRank]]),_xlfn.RANK.EQ(Games[[#This Row],[QuadSort]],Games[QuadSort],1),"")</f>
        <v/>
      </c>
      <c r="X77" s="5"/>
      <c r="Y77" s="5"/>
    </row>
    <row r="78" spans="10:25" x14ac:dyDescent="0.25">
      <c r="J78" s="7" t="str">
        <f t="shared" si="2"/>
        <v>Wed</v>
      </c>
      <c r="K78" s="11">
        <v>46288</v>
      </c>
      <c r="L78" s="9">
        <v>0.79861111111111116</v>
      </c>
      <c r="M78" t="s">
        <v>7</v>
      </c>
      <c r="N78" t="s">
        <v>72</v>
      </c>
      <c r="O78" s="14">
        <f>_xlfn.XLOOKUP(Games[[#This Row],[Type]],Types[Type],Types[Price])</f>
        <v>57</v>
      </c>
      <c r="P78">
        <f>_xlfn.XLOOKUP(Games[[#This Row],[Type]],Types[Type],Types[Pairs])</f>
        <v>2</v>
      </c>
      <c r="Q78" t="str">
        <f>TEXT(Games[[#This Row],[Price]],"$#,##0.00")&amp;" ("&amp;Games[[#This Row],[GamePairs]]*2&amp;")"</f>
        <v>$57.00 (4)</v>
      </c>
      <c r="R78" s="23">
        <v>36</v>
      </c>
      <c r="S78" s="15"/>
      <c r="T78" cm="1">
        <f t="array" aca="1" ref="T78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36.000001950837365</v>
      </c>
      <c r="U78" cm="1">
        <f t="array" aca="1" ref="U78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1.950837366206393E-6</v>
      </c>
      <c r="V78">
        <f ca="1">_xlfn.RANK.EQ(Games[[#This Row],[Sort]],Games[Sort],1)</f>
        <v>36</v>
      </c>
      <c r="W78" t="str">
        <f>IF(ISNUMBER(Games[[#This Row],[QuadRank]]),_xlfn.RANK.EQ(Games[[#This Row],[QuadSort]],Games[QuadSort],1),"")</f>
        <v/>
      </c>
      <c r="X78" s="5"/>
      <c r="Y78" s="5"/>
    </row>
    <row r="79" spans="10:25" x14ac:dyDescent="0.25">
      <c r="J79" s="7" t="str">
        <f t="shared" si="2"/>
        <v>Thu</v>
      </c>
      <c r="K79" s="11">
        <v>46289</v>
      </c>
      <c r="L79" s="9">
        <v>0.77777777777777779</v>
      </c>
      <c r="M79" t="s">
        <v>18</v>
      </c>
      <c r="N79" t="s">
        <v>72</v>
      </c>
      <c r="O79" s="14">
        <f>_xlfn.XLOOKUP(Games[[#This Row],[Type]],Types[Type],Types[Price])</f>
        <v>57</v>
      </c>
      <c r="P79">
        <f>_xlfn.XLOOKUP(Games[[#This Row],[Type]],Types[Type],Types[Pairs])</f>
        <v>2</v>
      </c>
      <c r="Q79" t="str">
        <f>TEXT(Games[[#This Row],[Price]],"$#,##0.00")&amp;" ("&amp;Games[[#This Row],[GamePairs]]*2&amp;")"</f>
        <v>$57.00 (4)</v>
      </c>
      <c r="R79" s="23">
        <v>35</v>
      </c>
      <c r="S79" s="15"/>
      <c r="T79" cm="1">
        <f t="array" aca="1" ref="T79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35.000002637874978</v>
      </c>
      <c r="U79" cm="1">
        <f t="array" aca="1" ref="U79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2.6378749812353557E-6</v>
      </c>
      <c r="V79">
        <f ca="1">_xlfn.RANK.EQ(Games[[#This Row],[Sort]],Games[Sort],1)</f>
        <v>35</v>
      </c>
      <c r="W79" t="str">
        <f>IF(ISNUMBER(Games[[#This Row],[QuadRank]]),_xlfn.RANK.EQ(Games[[#This Row],[QuadSort]],Games[QuadSort],1),"")</f>
        <v/>
      </c>
      <c r="X79" s="5"/>
      <c r="Y79" s="5"/>
    </row>
    <row r="80" spans="10:25" x14ac:dyDescent="0.25">
      <c r="J80" s="7" t="str">
        <f t="shared" si="2"/>
        <v>Fri</v>
      </c>
      <c r="K80" s="11">
        <v>46290</v>
      </c>
      <c r="L80" s="9">
        <v>0.79861111111111116</v>
      </c>
      <c r="M80" t="s">
        <v>18</v>
      </c>
      <c r="N80" t="s">
        <v>69</v>
      </c>
      <c r="O80" s="14">
        <f>_xlfn.XLOOKUP(Games[[#This Row],[Type]],Types[Type],Types[Price])</f>
        <v>90</v>
      </c>
      <c r="P80">
        <f>_xlfn.XLOOKUP(Games[[#This Row],[Type]],Types[Type],Types[Pairs])</f>
        <v>2</v>
      </c>
      <c r="Q80" t="str">
        <f>TEXT(Games[[#This Row],[Price]],"$#,##0.00")&amp;" ("&amp;Games[[#This Row],[GamePairs]]*2&amp;")"</f>
        <v>$90.00 (4)</v>
      </c>
      <c r="R80" s="23">
        <v>19</v>
      </c>
      <c r="S80" s="15"/>
      <c r="T80" cm="1">
        <f t="array" aca="1" ref="T80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19.000002462924726</v>
      </c>
      <c r="U80" cm="1">
        <f t="array" aca="1" ref="U80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2.4629247272769884E-6</v>
      </c>
      <c r="V80">
        <f ca="1">_xlfn.RANK.EQ(Games[[#This Row],[Sort]],Games[Sort],1)</f>
        <v>19</v>
      </c>
      <c r="W80" t="str">
        <f>IF(ISNUMBER(Games[[#This Row],[QuadRank]]),_xlfn.RANK.EQ(Games[[#This Row],[QuadSort]],Games[QuadSort],1),"")</f>
        <v/>
      </c>
      <c r="X80" s="5" t="s">
        <v>52</v>
      </c>
      <c r="Y80" s="5"/>
    </row>
    <row r="81" spans="10:25" x14ac:dyDescent="0.25">
      <c r="J81" s="7" t="str">
        <f t="shared" si="2"/>
        <v>Sat</v>
      </c>
      <c r="K81" s="11">
        <v>46291</v>
      </c>
      <c r="L81" s="9">
        <v>0.77777777777777779</v>
      </c>
      <c r="M81" t="s">
        <v>18</v>
      </c>
      <c r="N81" t="s">
        <v>69</v>
      </c>
      <c r="O81" s="14">
        <f>_xlfn.XLOOKUP(Games[[#This Row],[Type]],Types[Type],Types[Price])</f>
        <v>90</v>
      </c>
      <c r="P81">
        <f>_xlfn.XLOOKUP(Games[[#This Row],[Type]],Types[Type],Types[Pairs])</f>
        <v>2</v>
      </c>
      <c r="Q81" t="str">
        <f>TEXT(Games[[#This Row],[Price]],"$#,##0.00")&amp;" ("&amp;Games[[#This Row],[GamePairs]]*2&amp;")"</f>
        <v>$90.00 (4)</v>
      </c>
      <c r="R81" s="23">
        <v>2</v>
      </c>
      <c r="S81" s="15"/>
      <c r="T81" cm="1">
        <f t="array" aca="1" ref="T81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2.0000004102363147</v>
      </c>
      <c r="U81" cm="1">
        <f t="array" aca="1" ref="U81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4.1023631490869067E-7</v>
      </c>
      <c r="V81">
        <f ca="1">_xlfn.RANK.EQ(Games[[#This Row],[Sort]],Games[Sort],1)</f>
        <v>2</v>
      </c>
      <c r="W81" t="str">
        <f>IF(ISNUMBER(Games[[#This Row],[QuadRank]]),_xlfn.RANK.EQ(Games[[#This Row],[QuadSort]],Games[QuadSort],1),"")</f>
        <v/>
      </c>
      <c r="X81" s="5" t="s">
        <v>68</v>
      </c>
      <c r="Y81" s="5"/>
    </row>
    <row r="82" spans="10:25" x14ac:dyDescent="0.25">
      <c r="J82" s="7" t="str">
        <f t="shared" si="2"/>
        <v>Sun</v>
      </c>
      <c r="K82" s="11">
        <v>46292</v>
      </c>
      <c r="L82" s="9">
        <v>0.50694444444444442</v>
      </c>
      <c r="M82" t="s">
        <v>18</v>
      </c>
      <c r="N82" t="s">
        <v>69</v>
      </c>
      <c r="O82" s="14">
        <f>_xlfn.XLOOKUP(Games[[#This Row],[Type]],Types[Type],Types[Price])</f>
        <v>90</v>
      </c>
      <c r="P82">
        <f>_xlfn.XLOOKUP(Games[[#This Row],[Type]],Types[Type],Types[Pairs])</f>
        <v>2</v>
      </c>
      <c r="Q82" t="str">
        <f>TEXT(Games[[#This Row],[Price]],"$#,##0.00")&amp;" ("&amp;Games[[#This Row],[GamePairs]]*2&amp;")"</f>
        <v>$90.00 (4)</v>
      </c>
      <c r="R82" s="23">
        <v>1</v>
      </c>
      <c r="S82" s="15"/>
      <c r="T82" cm="1">
        <f t="array" aca="1" ref="T8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1.0000011046380646</v>
      </c>
      <c r="U82" cm="1">
        <f t="array" aca="1" ref="U82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1.1046380646628875E-6</v>
      </c>
      <c r="V82">
        <f ca="1">_xlfn.RANK.EQ(Games[[#This Row],[Sort]],Games[Sort],1)</f>
        <v>1</v>
      </c>
      <c r="W82" t="str">
        <f>IF(ISNUMBER(Games[[#This Row],[QuadRank]]),_xlfn.RANK.EQ(Games[[#This Row],[QuadSort]],Games[QuadSort],1),"")</f>
        <v/>
      </c>
      <c r="X82" s="5"/>
      <c r="Y82" s="5"/>
    </row>
  </sheetData>
  <phoneticPr fontId="0" type="noConversion"/>
  <conditionalFormatting sqref="AE18:AE19">
    <cfRule type="cellIs" dxfId="0" priority="1" operator="lessThan">
      <formula>0</formula>
    </cfRule>
  </conditionalFormatting>
  <pageMargins left="0.75" right="0.75" top="1" bottom="1" header="0.5" footer="0.5"/>
  <pageSetup scale="75" fitToHeight="2" orientation="landscape" horizontalDpi="4294967293" r:id="rId1"/>
  <headerFooter alignWithMargins="0"/>
  <drawing r:id="rId2"/>
  <tableParts count="3"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Props1.xml><?xml version="1.0" encoding="utf-8"?>
<ds:datastoreItem xmlns:ds="http://schemas.openxmlformats.org/officeDocument/2006/customXml" ds:itemID="{FC28572A-DBBD-41DA-B35A-4EE4183F097E}">
  <ds:schemaRefs>
    <ds:schemaRef ds:uri="http://gemini/workbookcustomization/RelationshipAutoDetectionEnabled"/>
  </ds:schemaRefs>
</ds:datastoreItem>
</file>

<file path=customXml/itemProps2.xml><?xml version="1.0" encoding="utf-8"?>
<ds:datastoreItem xmlns:ds="http://schemas.openxmlformats.org/officeDocument/2006/customXml" ds:itemID="{6D912AE9-69C0-4CB8-B244-6867A650D6DF}">
  <ds:schemaRefs>
    <ds:schemaRef ds:uri="http://gemini/pivotcustomization/TableOrder"/>
  </ds:schemaRefs>
</ds:datastoreItem>
</file>

<file path=customXml/itemProps3.xml><?xml version="1.0" encoding="utf-8"?>
<ds:datastoreItem xmlns:ds="http://schemas.openxmlformats.org/officeDocument/2006/customXml" ds:itemID="{BC856B52-7CEA-40F5-B6DC-513087EF9BFC}">
  <ds:schemaRefs>
    <ds:schemaRef ds:uri="http://gemini/workbookcustomization/LinkedTables"/>
  </ds:schemaRefs>
</ds:datastoreItem>
</file>

<file path=customXml/itemProps4.xml><?xml version="1.0" encoding="utf-8"?>
<ds:datastoreItem xmlns:ds="http://schemas.openxmlformats.org/officeDocument/2006/customXml" ds:itemID="{6973DF20-C076-4C6B-AF9B-C9B97F2E1664}">
  <ds:schemaRefs>
    <ds:schemaRef ds:uri="http://gemini/pivotcustomization/TableCountInSandbox"/>
  </ds:schemaRefs>
</ds:datastoreItem>
</file>

<file path=customXml/itemProps5.xml><?xml version="1.0" encoding="utf-8"?>
<ds:datastoreItem xmlns:ds="http://schemas.openxmlformats.org/officeDocument/2006/customXml" ds:itemID="{2345DE6F-47AA-4EDA-B488-7DEE82DC724B}">
  <ds:schemaRefs>
    <ds:schemaRef ds:uri="http://gemini/workbookcustomization/MetadataRecoveryInformation"/>
  </ds:schemaRefs>
</ds:datastoreItem>
</file>

<file path=customXml/itemProps6.xml><?xml version="1.0" encoding="utf-8"?>
<ds:datastoreItem xmlns:ds="http://schemas.openxmlformats.org/officeDocument/2006/customXml" ds:itemID="{3C8E8D6F-A8BF-49FB-A299-15B53BD3D957}">
  <ds:schemaRefs>
    <ds:schemaRef ds:uri="http://gemini/pivotcustomization/ManualCalcMode"/>
  </ds:schemaRefs>
</ds:datastoreItem>
</file>

<file path=customXml/itemProps7.xml><?xml version="1.0" encoding="utf-8"?>
<ds:datastoreItem xmlns:ds="http://schemas.openxmlformats.org/officeDocument/2006/customXml" ds:itemID="{1EFDDE9C-0988-42F3-8514-0D112D9C861E}">
  <ds:schemaRefs>
    <ds:schemaRef ds:uri="http://gemini/workbookcustomization/SandboxNonEmpty"/>
  </ds:schemaRefs>
</ds:datastoreItem>
</file>

<file path=customXml/itemProps8.xml><?xml version="1.0" encoding="utf-8"?>
<ds:datastoreItem xmlns:ds="http://schemas.openxmlformats.org/officeDocument/2006/customXml" ds:itemID="{6042109E-18FA-45A7-8040-A4D2660D45A9}">
  <ds:schemaRefs>
    <ds:schemaRef ds:uri="http://gemini/pivotcustomization/LinkedTableUpdateMod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</vt:lpstr>
    </vt:vector>
  </TitlesOfParts>
  <Manager/>
  <Company>Microsoft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 Brechner</dc:creator>
  <cp:keywords/>
  <dc:description/>
  <cp:lastModifiedBy>Tom Grandine</cp:lastModifiedBy>
  <cp:revision/>
  <dcterms:created xsi:type="dcterms:W3CDTF">2004-01-21T05:17:22Z</dcterms:created>
  <dcterms:modified xsi:type="dcterms:W3CDTF">2026-09-25T16:43:46Z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ericbrec@microsoft.com</vt:lpwstr>
  </property>
  <property fmtid="{D5CDD505-2E9C-101B-9397-08002B2CF9AE}" pid="5" name="MSIP_Label_f42aa342-8706-4288-bd11-ebb85995028c_SetDate">
    <vt:lpwstr>2018-02-10T20:28:43.7090684Z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