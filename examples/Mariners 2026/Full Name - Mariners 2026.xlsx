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Mariners 2026\"/>
    </mc:Choice>
  </mc:AlternateContent>
  <xr:revisionPtr revIDLastSave="0" documentId="13_ncr:1_{0C2C6C14-B657-4880-A005-0339D164C6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8" i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Q79" i="1" l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<sst xmlns="http://schemas.openxmlformats.org/spreadsheetml/2006/main" count="283" uniqueCount="109">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</sst>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7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>
      <calculatedColumnFormula>TEXT(Games[[#This Row],[Date]], "ddd")</calculatedColumnFormula>
    </tableColumn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0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5">
      <calculatedColumnFormula>_xlfn.RANK.EQ(Games[[#This Row],[Sort]],Games[Sort],1)</calculatedColumnFormula>
    </tableColumn>
    <tableColumn id="9" xr3:uid="{FE7F021A-A7DE-4DDD-9CB4-33114D9B6A5E}" name="QuadPick" dataDxfId="14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3"/>
    <tableColumn id="14" xr3:uid="{02873305-C254-48E4-9E8D-324FD18F7B69}" name="Comments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11" totalsRowDxfId="10"/>
    <tableColumn id="2" xr3:uid="{D785142C-C4FC-418F-A0C8-7745E2B467E4}" name="Price" dataDxfId="9" dataCellStyle="Currency" totalsRowCellStyle="Currency"/>
    <tableColumn id="3" xr3:uid="{F14FCFFA-E6B3-465B-BEC9-D1AFB23F6C0D}" name="Pairs"/>
    <tableColumn id="4" xr3:uid="{77C90207-35F5-4AB4-B4C2-39C4FABA9268}" name="Games" totalsRowFunction="sum" dataDxfId="8">
      <calculatedColumnFormula>COUNTIF(Games[Type],Types[[#This Row],[Type]])</calculatedColumnFormula>
    </tableColumn>
    <tableColumn id="5" xr3:uid="{B143CB75-DF50-4323-85C5-10526A2643E2}" name="Tickets" totalsRowFunction="sum" dataDxfId="7">
      <calculatedColumnFormula>Types[[#This Row],[Games]]*Types[[#This Row],[Pairs]]*2</calculatedColumnFormula>
    </tableColumn>
    <tableColumn id="6" xr3:uid="{1050CF1C-249D-4CE7-A143-304C5582C5BA}" name="Cost" totalsRowFunction="sum" dataDxfId="6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5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4">
      <calculatedColumnFormula>Names[[#This Row],[Pairs]]+Names[[#This Row],[Quads]]</calculatedColumnFormula>
    </tableColumn>
    <tableColumn id="5" xr3:uid="{352D40E4-D431-4ADD-8BC1-66192541A0D2}" name="Tickets" totalsRowFunction="sum" dataDxfId="3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R2" sqref="R2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88.5703125" bestFit="1" customWidth="1"/>
    <col min="25" max="25" width="22.7109375" customWidth="1"/>
    <col min="26" max="26" width="3" customWidth="1"/>
    <col min="27" max="27" width="14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86</v>
      </c>
      <c r="O1" s="19" t="s">
        <v>88</v>
      </c>
      <c r="P1" s="19" t="s">
        <v>95</v>
      </c>
      <c r="Q1" s="19" t="s">
        <v>96</v>
      </c>
      <c r="R1" s="20" t="s">
        <v>3</v>
      </c>
      <c r="S1" s="20" t="s">
        <v>87</v>
      </c>
      <c r="T1" s="19" t="s">
        <v>75</v>
      </c>
      <c r="U1" s="19" t="s">
        <v>94</v>
      </c>
      <c r="V1" s="19" t="s">
        <v>89</v>
      </c>
      <c r="W1" s="19" t="s">
        <v>90</v>
      </c>
      <c r="X1" s="17" t="s">
        <v>92</v>
      </c>
      <c r="Y1" s="17" t="s">
        <v>93</v>
      </c>
      <c r="AA1" s="17" t="s">
        <v>91</v>
      </c>
      <c r="AB1" s="17" t="s">
        <v>76</v>
      </c>
      <c r="AC1" s="17" t="s">
        <v>77</v>
      </c>
      <c r="AD1" s="17" t="s">
        <v>82</v>
      </c>
      <c r="AE1" s="17" t="s">
        <v>83</v>
      </c>
    </row>
    <row r="2" spans="1:31" x14ac:dyDescent="0.2">
      <c r="J2" s="7" t="str">
        <f>TEXT(Games[[#This Row],[Date]],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5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12"/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1.0000003476406059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1.0000003476406059</v>
      </c>
      <c r="V2">
        <f ca="1">_xlfn.RANK.EQ(Games[[#This Row],[Sort]],Games[Sort],1)</f>
        <v>9</v>
      </c>
      <c r="W2" t="str">
        <f>IF(COUNT(Games[QuadRank])&gt;0,_xlfn.RANK.EQ(Games[[#This Row],[QuadSort]],Games[QuadSort],1),"")</f>
        <v/>
      </c>
      <c r="X2" s="5" t="s">
        <v>38</v>
      </c>
      <c r="Y2" s="5"/>
      <c r="AA2" s="21" t="s">
        <v>79</v>
      </c>
      <c r="AB2" s="22">
        <v>14</v>
      </c>
      <c r="AC2" s="22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">
      <c r="J3" s="7" t="str">
        <f>TEXT(Games[[#This Row],[Date]], "ddd")</f>
        <v>Fri</v>
      </c>
      <c r="K3" s="11">
        <v>46108</v>
      </c>
      <c r="L3" s="10">
        <v>0.78125</v>
      </c>
      <c r="M3" t="s">
        <v>5</v>
      </c>
      <c r="N3" t="s">
        <v>70</v>
      </c>
      <c r="O3" s="15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12"/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1.0000003603949206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1.0000003603949206</v>
      </c>
      <c r="V3">
        <f ca="1">_xlfn.RANK.EQ(Games[[#This Row],[Sort]],Games[Sort],1)</f>
        <v>10</v>
      </c>
      <c r="W3" t="str">
        <f>IF(COUNT(Games[QuadRank])&gt;0,_xlfn.RANK.EQ(Games[[#This Row],[QuadSort]],Games[QuadSort],1),"")</f>
        <v/>
      </c>
      <c r="X3" s="5" t="s">
        <v>39</v>
      </c>
      <c r="Y3" s="5"/>
      <c r="AA3" s="21" t="s">
        <v>99</v>
      </c>
      <c r="AB3" s="22">
        <v>0</v>
      </c>
      <c r="AC3" s="22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">
      <c r="J4" s="7" t="str">
        <f>TEXT(Games[[#This Row],[Date]], "ddd")</f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5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12"/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1.0000006314301622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1.0000006314301622</v>
      </c>
      <c r="V4">
        <f ca="1">_xlfn.RANK.EQ(Games[[#This Row],[Sort]],Games[Sort],1)</f>
        <v>16</v>
      </c>
      <c r="W4" t="str">
        <f>IF(COUNT(Games[QuadRank])&gt;0,_xlfn.RANK.EQ(Games[[#This Row],[QuadSort]],Games[QuadSort],1),"")</f>
        <v/>
      </c>
      <c r="X4" s="5" t="s">
        <v>40</v>
      </c>
      <c r="Y4" s="5"/>
      <c r="AA4" s="21" t="s">
        <v>100</v>
      </c>
      <c r="AB4" s="22">
        <v>5</v>
      </c>
      <c r="AC4" s="22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">
      <c r="J5" s="7" t="str">
        <f>TEXT(Games[[#This Row],[Date]], "ddd")</f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5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12"/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1.0000021877972542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1.0000021877972542</v>
      </c>
      <c r="V5">
        <f ca="1">_xlfn.RANK.EQ(Games[[#This Row],[Sort]],Games[Sort],1)</f>
        <v>66</v>
      </c>
      <c r="W5" t="str">
        <f>IF(COUNT(Games[QuadRank])&gt;0,_xlfn.RANK.EQ(Games[[#This Row],[QuadSort]],Games[QuadSort],1),"")</f>
        <v/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5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12"/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1.0000013111239676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1.0000013111239676</v>
      </c>
      <c r="V6">
        <f ca="1">_xlfn.RANK.EQ(Games[[#This Row],[Sort]],Games[Sort],1)</f>
        <v>39</v>
      </c>
      <c r="W6" t="str">
        <f>IF(COUNT(Games[QuadRank])&gt;0,_xlfn.RANK.EQ(Games[[#This Row],[QuadSort]],Games[QuadSort],1),"")</f>
        <v/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5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12"/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1.0000026533802129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1.0000026533802129</v>
      </c>
      <c r="V7">
        <f ca="1">_xlfn.RANK.EQ(Games[[#This Row],[Sort]],Games[Sort],1)</f>
        <v>79</v>
      </c>
      <c r="W7" t="str">
        <f>IF(COUNT(Games[QuadRank])&gt;0,_xlfn.RANK.EQ(Games[[#This Row],[QuadSort]],Games[QuadSort],1),"")</f>
        <v/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5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12"/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1.0000026223435583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1.0000026223435583</v>
      </c>
      <c r="V8">
        <f ca="1">_xlfn.RANK.EQ(Games[[#This Row],[Sort]],Games[Sort],1)</f>
        <v>77</v>
      </c>
      <c r="W8" t="str">
        <f>IF(COUNT(Games[QuadRank])&gt;0,_xlfn.RANK.EQ(Games[[#This Row],[QuadSort]],Games[QuadSort],1),"")</f>
        <v/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5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12"/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1.0000003724938444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1.0000003724938444</v>
      </c>
      <c r="V9">
        <f ca="1">_xlfn.RANK.EQ(Games[[#This Row],[Sort]],Games[Sort],1)</f>
        <v>11</v>
      </c>
      <c r="W9" t="str">
        <f>IF(COUNT(Games[QuadRank])&gt;0,_xlfn.RANK.EQ(Games[[#This Row],[QuadSort]],Games[QuadSort],1),"")</f>
        <v/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5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12"/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1.0000017147500897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1.0000017147500897</v>
      </c>
      <c r="V10">
        <f ca="1">_xlfn.RANK.EQ(Games[[#This Row],[Sort]],Games[Sort],1)</f>
        <v>53</v>
      </c>
      <c r="W10" t="str">
        <f>IF(COUNT(Games[QuadRank])&gt;0,_xlfn.RANK.EQ(Games[[#This Row],[QuadSort]],Games[QuadSort],1),"")</f>
        <v/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5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12"/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1.0000016837134351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1.0000016837134351</v>
      </c>
      <c r="V11">
        <f ca="1">_xlfn.RANK.EQ(Games[[#This Row],[Sort]],Games[Sort],1)</f>
        <v>52</v>
      </c>
      <c r="W11" t="str">
        <f>IF(COUNT(Games[QuadRank])&gt;0,_xlfn.RANK.EQ(Games[[#This Row],[QuadSort]],Games[QuadSort],1),"")</f>
        <v/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5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12"/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1.000000286243653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1.000000286243653</v>
      </c>
      <c r="V12">
        <f ca="1">_xlfn.RANK.EQ(Games[[#This Row],[Sort]],Games[Sort],1)</f>
        <v>3</v>
      </c>
      <c r="W12" t="str">
        <f>IF(COUNT(Games[QuadRank])&gt;0,_xlfn.RANK.EQ(Games[[#This Row],[QuadSort]],Games[QuadSort],1),"")</f>
        <v/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5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12"/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1.0000015491094798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1.0000015491094798</v>
      </c>
      <c r="V13">
        <f ca="1">_xlfn.RANK.EQ(Games[[#This Row],[Sort]],Games[Sort],1)</f>
        <v>48</v>
      </c>
      <c r="W13" t="str">
        <f>IF(COUNT(Games[QuadRank])&gt;0,_xlfn.RANK.EQ(Games[[#This Row],[QuadSort]],Games[QuadSort],1),"")</f>
        <v/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5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12"/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1.0000009602920523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1.0000009602920523</v>
      </c>
      <c r="V14">
        <f ca="1">_xlfn.RANK.EQ(Games[[#This Row],[Sort]],Games[Sort],1)</f>
        <v>30</v>
      </c>
      <c r="W14" t="str">
        <f>IF(COUNT(Games[QuadRank])&gt;0,_xlfn.RANK.EQ(Games[[#This Row],[QuadSort]],Games[QuadSort],1),"")</f>
        <v/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5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12"/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1.0000008555103852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1.0000008555103852</v>
      </c>
      <c r="V15">
        <f ca="1">_xlfn.RANK.EQ(Games[[#This Row],[Sort]],Games[Sort],1)</f>
        <v>24</v>
      </c>
      <c r="W15" t="str">
        <f>IF(COUNT(Games[QuadRank])&gt;0,_xlfn.RANK.EQ(Games[[#This Row],[QuadSort]],Games[QuadSort],1),"")</f>
        <v/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5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12"/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1.0000008313335031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1.0000008313335031</v>
      </c>
      <c r="V16">
        <f ca="1">_xlfn.RANK.EQ(Games[[#This Row],[Sort]],Games[Sort],1)</f>
        <v>22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5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12"/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1.0000021735897486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1.0000021735897486</v>
      </c>
      <c r="V17">
        <f ca="1">_xlfn.RANK.EQ(Games[[#This Row],[Sort]],Games[Sort],1)</f>
        <v>64</v>
      </c>
      <c r="W17" t="str">
        <f>IF(COUNT(Games[QuadRank])&gt;0,_xlfn.RANK.EQ(Games[[#This Row],[QuadSort]],Games[QuadSort],1),"")</f>
        <v/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x14ac:dyDescent="0.2">
      <c r="J18" s="7" t="str">
        <f>TEXT(Games[[#This Row],[Date]], "ddd")</f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5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12"/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1.0000021425530941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1.0000021425530941</v>
      </c>
      <c r="V18">
        <f ca="1">_xlfn.RANK.EQ(Games[[#This Row],[Sort]],Games[Sort],1)</f>
        <v>62</v>
      </c>
      <c r="W18" t="str">
        <f>IF(COUNT(Games[QuadRank])&gt;0,_xlfn.RANK.EQ(Games[[#This Row],[QuadSort]],Games[QuadSort],1),"")</f>
        <v/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">
      <c r="J19" s="7" t="str">
        <f>TEXT(Games[[#This Row],[Date]], "ddd")</f>
        <v>Fri</v>
      </c>
      <c r="K19" s="11">
        <v>46143</v>
      </c>
      <c r="L19" s="9">
        <v>0.78125</v>
      </c>
      <c r="M19" t="s">
        <v>10</v>
      </c>
      <c r="N19" t="s">
        <v>71</v>
      </c>
      <c r="O19" s="15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12"/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1.000002375634206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1.000002375634206</v>
      </c>
      <c r="V19">
        <f ca="1">_xlfn.RANK.EQ(Games[[#This Row],[Sort]],Games[Sort],1)</f>
        <v>72</v>
      </c>
      <c r="W19" t="str">
        <f>IF(COUNT(Games[QuadRank])&gt;0,_xlfn.RANK.EQ(Games[[#This Row],[QuadSort]],Games[QuadSort],1),"")</f>
        <v/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5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12"/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1.0000012349596255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1.0000012349596255</v>
      </c>
      <c r="V20">
        <f ca="1">_xlfn.RANK.EQ(Games[[#This Row],[Sort]],Games[Sort],1)</f>
        <v>37</v>
      </c>
      <c r="W20" t="str">
        <f>IF(COUNT(Games[QuadRank])&gt;0,_xlfn.RANK.EQ(Games[[#This Row],[QuadSort]],Games[QuadSort],1),"")</f>
        <v/>
      </c>
      <c r="X20" s="5" t="s">
        <v>47</v>
      </c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5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12"/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1.0000012039229706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1.0000012039229706</v>
      </c>
      <c r="V21">
        <f ca="1">_xlfn.RANK.EQ(Games[[#This Row],[Sort]],Games[Sort],1)</f>
        <v>35</v>
      </c>
      <c r="W21" t="str">
        <f>IF(COUNT(Games[QuadRank])&gt;0,_xlfn.RANK.EQ(Games[[#This Row],[QuadSort]],Games[QuadSort],1),"")</f>
        <v/>
      </c>
      <c r="X21" s="5" t="s">
        <v>48</v>
      </c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5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12"/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1.0000011797460886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1.0000011797460886</v>
      </c>
      <c r="V22">
        <f ca="1">_xlfn.RANK.EQ(Games[[#This Row],[Sort]],Games[Sort],1)</f>
        <v>34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5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12"/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1.0000025220023341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1.0000025220023341</v>
      </c>
      <c r="V23">
        <f ca="1">_xlfn.RANK.EQ(Games[[#This Row],[Sort]],Games[Sort],1)</f>
        <v>75</v>
      </c>
      <c r="W23" t="str">
        <f>IF(COUNT(Games[QuadRank])&gt;0,_xlfn.RANK.EQ(Games[[#This Row],[QuadSort]],Games[QuadSort],1),"")</f>
        <v/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5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12"/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1.0000024909656795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1.0000024909656795</v>
      </c>
      <c r="V24">
        <f ca="1">_xlfn.RANK.EQ(Games[[#This Row],[Sort]],Games[Sort],1)</f>
        <v>74</v>
      </c>
      <c r="W24" t="str">
        <f>IF(COUNT(Games[QuadRank])&gt;0,_xlfn.RANK.EQ(Games[[#This Row],[QuadSort]],Games[QuadSort],1),"")</f>
        <v/>
      </c>
      <c r="X24" s="5"/>
      <c r="Y24" s="5"/>
      <c r="AA24" s="3" t="s">
        <v>69</v>
      </c>
      <c r="AB24" s="15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3">
        <f>Types[[#This Row],[Tickets]]*Types[[#This Row],[Price]]</f>
        <v>7920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5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12"/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1.0000002411159654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1.0000002411159654</v>
      </c>
      <c r="V25">
        <f ca="1">_xlfn.RANK.EQ(Games[[#This Row],[Sort]],Games[Sort],1)</f>
        <v>1</v>
      </c>
      <c r="W25" t="str">
        <f>IF(COUNT(Games[QuadRank])&gt;0,_xlfn.RANK.EQ(Games[[#This Row],[QuadSort]],Games[QuadSort],1),"")</f>
        <v/>
      </c>
      <c r="X25" s="5" t="s">
        <v>49</v>
      </c>
      <c r="Y25" s="5"/>
      <c r="AA25" s="3" t="s">
        <v>70</v>
      </c>
      <c r="AB25" s="15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3">
        <f>Types[[#This Row],[Tickets]]*Types[[#This Row],[Price]]</f>
        <v>8004</v>
      </c>
    </row>
    <row r="26" spans="2:32" x14ac:dyDescent="0.2">
      <c r="J26" s="7" t="str">
        <f>TEXT(Games[[#This Row],[Date]], "ddd")</f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5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12"/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1.0000016571172232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1.0000016571172232</v>
      </c>
      <c r="V26">
        <f ca="1">_xlfn.RANK.EQ(Games[[#This Row],[Sort]],Games[Sort],1)</f>
        <v>51</v>
      </c>
      <c r="W26" t="str">
        <f>IF(COUNT(Games[QuadRank])&gt;0,_xlfn.RANK.EQ(Games[[#This Row],[QuadSort]],Games[QuadSort],1),"")</f>
        <v/>
      </c>
      <c r="X26" s="5" t="s">
        <v>50</v>
      </c>
      <c r="Y26" s="5"/>
      <c r="AA26" s="3" t="s">
        <v>72</v>
      </c>
      <c r="AB26" s="15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3">
        <f>Types[[#This Row],[Tickets]]*Types[[#This Row],[Price]]</f>
        <v>4332</v>
      </c>
    </row>
    <row r="27" spans="2:32" x14ac:dyDescent="0.2">
      <c r="J27" s="7" t="str">
        <f>TEXT(Games[[#This Row],[Date]], "ddd")</f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5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12"/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1.0000024048319609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1.0000024048319609</v>
      </c>
      <c r="V27">
        <f ca="1">_xlfn.RANK.EQ(Games[[#This Row],[Sort]],Games[Sort],1)</f>
        <v>73</v>
      </c>
      <c r="W27" t="str">
        <f>IF(COUNT(Games[QuadRank])&gt;0,_xlfn.RANK.EQ(Games[[#This Row],[QuadSort]],Games[QuadSort],1),"")</f>
        <v/>
      </c>
      <c r="X27" s="5"/>
      <c r="Y27" s="5"/>
      <c r="AA27" s="3" t="s">
        <v>71</v>
      </c>
      <c r="AB27" s="15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3">
        <f>Types[[#This Row],[Tickets]]*Types[[#This Row],[Price]]</f>
        <v>1980</v>
      </c>
    </row>
    <row r="28" spans="2:32" x14ac:dyDescent="0.2">
      <c r="B28" s="13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>TEXT(Games[[#This Row],[Date]], "ddd")</f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5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12"/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1.0000022630660164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1.0000022630660164</v>
      </c>
      <c r="V28">
        <f ca="1">_xlfn.RANK.EQ(Games[[#This Row],[Sort]],Games[Sort],1)</f>
        <v>69</v>
      </c>
      <c r="W28" t="str">
        <f>IF(COUNT(Games[QuadRank])&gt;0,_xlfn.RANK.EQ(Games[[#This Row],[QuadSort]],Games[QuadSort],1),"")</f>
        <v/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3">
        <f>SUBTOTAL(109,Types[Cost])</f>
        <v>22236</v>
      </c>
    </row>
    <row r="29" spans="2:32" x14ac:dyDescent="0.2">
      <c r="B29" s="13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>TEXT(Games[[#This Row],[Date]], "ddd")</f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5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12"/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1.0000008655962342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1.0000008655962342</v>
      </c>
      <c r="V29">
        <f ca="1">_xlfn.RANK.EQ(Games[[#This Row],[Sort]],Games[Sort],1)</f>
        <v>25</v>
      </c>
      <c r="W29" t="str">
        <f>IF(COUNT(Games[QuadRank])&gt;0,_xlfn.RANK.EQ(Games[[#This Row],[QuadSort]],Games[QuadSort],1),"")</f>
        <v/>
      </c>
      <c r="X29" s="5" t="s">
        <v>51</v>
      </c>
      <c r="Y29" s="5"/>
    </row>
    <row r="30" spans="2:32" x14ac:dyDescent="0.2">
      <c r="B30" s="13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>TEXT(Games[[#This Row],[Date]], "ddd")</f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5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12"/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1.0000008345595797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1.0000008345595797</v>
      </c>
      <c r="V30">
        <f ca="1">_xlfn.RANK.EQ(Games[[#This Row],[Sort]],Games[Sort],1)</f>
        <v>23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5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12"/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1.0000009854328002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1.0000009854328002</v>
      </c>
      <c r="V31">
        <f ca="1">_xlfn.RANK.EQ(Games[[#This Row],[Sort]],Games[Sort],1)</f>
        <v>32</v>
      </c>
      <c r="W31" t="str">
        <f>IF(COUNT(Games[QuadRank])&gt;0,_xlfn.RANK.EQ(Games[[#This Row],[QuadSort]],Games[QuadSort],1),"")</f>
        <v/>
      </c>
      <c r="X31" s="5" t="s">
        <v>52</v>
      </c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5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12"/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1.0000023276890455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1.0000023276890455</v>
      </c>
      <c r="V32">
        <f ca="1">_xlfn.RANK.EQ(Games[[#This Row],[Sort]],Games[Sort],1)</f>
        <v>70</v>
      </c>
      <c r="W32" t="str">
        <f>IF(COUNT(Games[QuadRank])&gt;0,_xlfn.RANK.EQ(Games[[#This Row],[QuadSort]],Games[QuadSort],1),"")</f>
        <v/>
      </c>
      <c r="X32" s="5" t="s">
        <v>53</v>
      </c>
      <c r="Y32" s="5"/>
    </row>
    <row r="33" spans="2:25" x14ac:dyDescent="0.2">
      <c r="J33" s="7" t="str">
        <f>TEXT(Games[[#This Row],[Date]], "ddd")</f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5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12"/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1.0000026356554839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1.0000026356554839</v>
      </c>
      <c r="V33">
        <f ca="1">_xlfn.RANK.EQ(Games[[#This Row],[Sort]],Games[Sort],1)</f>
        <v>78</v>
      </c>
      <c r="W33" t="str">
        <f>IF(COUNT(Games[QuadRank])&gt;0,_xlfn.RANK.EQ(Games[[#This Row],[QuadSort]],Games[QuadSort],1),"")</f>
        <v/>
      </c>
      <c r="X33" s="5" t="s">
        <v>54</v>
      </c>
      <c r="Y33" s="5"/>
    </row>
    <row r="34" spans="2:25" x14ac:dyDescent="0.2">
      <c r="J34" s="7" t="str">
        <f>TEXT(Games[[#This Row],[Date]],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5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12"/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1.0000026114786018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1.0000026114786018</v>
      </c>
      <c r="V34">
        <f ca="1">_xlfn.RANK.EQ(Games[[#This Row],[Sort]],Games[Sort],1)</f>
        <v>76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5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12"/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1.0000012140088197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1.0000012140088197</v>
      </c>
      <c r="V35">
        <f ca="1">_xlfn.RANK.EQ(Games[[#This Row],[Sort]],Games[Sort],1)</f>
        <v>36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5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12"/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1.000001521975258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1.000001521975258</v>
      </c>
      <c r="V36">
        <f ca="1">_xlfn.RANK.EQ(Games[[#This Row],[Sort]],Games[Sort],1)</f>
        <v>46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5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12"/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1.0000015624214054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1.0000015624214054</v>
      </c>
      <c r="V37">
        <f ca="1">_xlfn.RANK.EQ(Games[[#This Row],[Sort]],Games[Sort],1)</f>
        <v>49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5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12"/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1.0000008998589653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1.0000008998589653</v>
      </c>
      <c r="V38">
        <f ca="1">_xlfn.RANK.EQ(Games[[#This Row],[Sort]],Games[Sort],1)</f>
        <v>28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0</v>
      </c>
      <c r="C39" t="s">
        <v>28</v>
      </c>
      <c r="D39" s="14"/>
      <c r="E39" t="s">
        <v>29</v>
      </c>
      <c r="J39" s="7" t="str">
        <f>TEXT(Games[[#This Row],[Date]], "ddd")</f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5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12"/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1.0000008688223108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1.0000008688223108</v>
      </c>
      <c r="V39">
        <f ca="1">_xlfn.RANK.EQ(Games[[#This Row],[Sort]],Games[Sort],1)</f>
        <v>26</v>
      </c>
      <c r="W39" t="str">
        <f>IF(COUNT(Games[QuadRank])&gt;0,_xlfn.RANK.EQ(Games[[#This Row],[QuadSort]],Games[QuadSort],1),"")</f>
        <v/>
      </c>
      <c r="X39" s="5" t="s">
        <v>55</v>
      </c>
      <c r="Y39" s="5"/>
    </row>
    <row r="40" spans="2:25" x14ac:dyDescent="0.2">
      <c r="B40" s="13" t="b">
        <v>0</v>
      </c>
      <c r="C40" t="s">
        <v>30</v>
      </c>
      <c r="D40" s="14"/>
      <c r="E40" t="s">
        <v>29</v>
      </c>
      <c r="J40" s="7" t="str">
        <f>TEXT(Games[[#This Row],[Date]], "ddd")</f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5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12"/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1.0000005056423358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1.0000005056423358</v>
      </c>
      <c r="V40">
        <f ca="1">_xlfn.RANK.EQ(Games[[#This Row],[Sort]],Games[Sort],1)</f>
        <v>15</v>
      </c>
      <c r="W40" t="str">
        <f>IF(COUNT(Games[QuadRank])&gt;0,_xlfn.RANK.EQ(Games[[#This Row],[QuadSort]],Games[QuadSort],1),"")</f>
        <v/>
      </c>
      <c r="X40" s="5" t="s">
        <v>52</v>
      </c>
      <c r="Y40" s="5"/>
    </row>
    <row r="41" spans="2:25" x14ac:dyDescent="0.2">
      <c r="B41" s="13" t="b">
        <v>0</v>
      </c>
      <c r="C41" t="s">
        <v>28</v>
      </c>
      <c r="D41" s="14"/>
      <c r="E41" t="s">
        <v>35</v>
      </c>
      <c r="J41" s="7" t="str">
        <f>TEXT(Games[[#This Row],[Date]], "ddd")</f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5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12"/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1.0000018478985813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1.0000018478985813</v>
      </c>
      <c r="V41">
        <f ca="1">_xlfn.RANK.EQ(Games[[#This Row],[Sort]],Games[Sort],1)</f>
        <v>57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30</v>
      </c>
      <c r="D42" s="14"/>
      <c r="E42" t="s">
        <v>35</v>
      </c>
      <c r="J42" s="7" t="str">
        <f>TEXT(Games[[#This Row],[Date]], "ddd")</f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5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12"/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1.0000021558650196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1.0000021558650196</v>
      </c>
      <c r="V42">
        <f ca="1">_xlfn.RANK.EQ(Games[[#This Row],[Sort]],Games[Sort],1)</f>
        <v>63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28</v>
      </c>
      <c r="D43" s="14"/>
      <c r="E43" t="s">
        <v>36</v>
      </c>
      <c r="J43" s="7" t="str">
        <f>TEXT(Games[[#This Row],[Date]], "ddd")</f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5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12"/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1.000000897893131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1.000000897893131</v>
      </c>
      <c r="V43">
        <f ca="1">_xlfn.RANK.EQ(Games[[#This Row],[Sort]],Games[Sort],1)</f>
        <v>27</v>
      </c>
      <c r="W43" t="str">
        <f>IF(COUNT(Games[QuadRank])&gt;0,_xlfn.RANK.EQ(Games[[#This Row],[QuadSort]],Games[QuadSort],1),"")</f>
        <v/>
      </c>
      <c r="X43" s="5" t="s">
        <v>56</v>
      </c>
      <c r="Y43" s="5"/>
    </row>
    <row r="44" spans="2:25" x14ac:dyDescent="0.2">
      <c r="B44" s="13" t="b">
        <v>0</v>
      </c>
      <c r="C44" t="s">
        <v>30</v>
      </c>
      <c r="D44" s="14"/>
      <c r="E44" t="s">
        <v>36</v>
      </c>
      <c r="J44" s="7" t="str">
        <f>TEXT(Games[[#This Row],[Date]], "ddd")</f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5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12"/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1.0000022401493764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1.0000022401493764</v>
      </c>
      <c r="V44">
        <f ca="1">_xlfn.RANK.EQ(Games[[#This Row],[Sort]],Games[Sort],1)</f>
        <v>68</v>
      </c>
      <c r="W44" t="str">
        <f>IF(COUNT(Games[QuadRank])&gt;0,_xlfn.RANK.EQ(Games[[#This Row],[QuadSort]],Games[QuadSort],1),"")</f>
        <v/>
      </c>
      <c r="X44" s="5" t="s">
        <v>56</v>
      </c>
      <c r="Y44" s="5"/>
    </row>
    <row r="45" spans="2:25" x14ac:dyDescent="0.2">
      <c r="B45" s="13" t="b">
        <v>0</v>
      </c>
      <c r="C45" t="s">
        <v>28</v>
      </c>
      <c r="D45" s="14"/>
      <c r="E45" t="s">
        <v>31</v>
      </c>
      <c r="J45" s="7" t="str">
        <f>TEXT(Games[[#This Row],[Date]], "ddd")</f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5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12"/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1.0000021849358396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1.0000021849358396</v>
      </c>
      <c r="V45">
        <f ca="1">_xlfn.RANK.EQ(Games[[#This Row],[Sort]],Games[Sort],1)</f>
        <v>65</v>
      </c>
      <c r="W45" t="str">
        <f>IF(COUNT(Games[QuadRank])&gt;0,_xlfn.RANK.EQ(Games[[#This Row],[QuadSort]],Games[QuadSort],1),"")</f>
        <v/>
      </c>
      <c r="X45" s="5" t="s">
        <v>56</v>
      </c>
      <c r="Y45" s="5"/>
    </row>
    <row r="46" spans="2:25" x14ac:dyDescent="0.2">
      <c r="B46" s="13" t="b">
        <v>0</v>
      </c>
      <c r="C46" t="s">
        <v>30</v>
      </c>
      <c r="D46" s="14"/>
      <c r="E46" t="s">
        <v>31</v>
      </c>
      <c r="J46" s="7" t="str">
        <f>TEXT(Games[[#This Row],[Date]], "ddd")</f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5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12"/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1.0000004484629648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1.0000004484629648</v>
      </c>
      <c r="V46">
        <f ca="1">_xlfn.RANK.EQ(Games[[#This Row],[Sort]],Games[Sort],1)</f>
        <v>14</v>
      </c>
      <c r="W46" t="str">
        <f>IF(COUNT(Games[QuadRank])&gt;0,_xlfn.RANK.EQ(Games[[#This Row],[QuadSort]],Games[QuadSort],1),"")</f>
        <v/>
      </c>
      <c r="X46" s="5" t="s">
        <v>52</v>
      </c>
      <c r="Y46" s="5"/>
    </row>
    <row r="47" spans="2:25" x14ac:dyDescent="0.2">
      <c r="B47" s="13" t="b">
        <v>0</v>
      </c>
      <c r="C47" t="s">
        <v>28</v>
      </c>
      <c r="D47" s="14"/>
      <c r="E47" t="s">
        <v>33</v>
      </c>
      <c r="J47" s="7" t="str">
        <f>TEXT(Games[[#This Row],[Date]], "ddd")</f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5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12"/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1.0000007564294031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1.0000007564294031</v>
      </c>
      <c r="V47">
        <f ca="1">_xlfn.RANK.EQ(Games[[#This Row],[Sort]],Games[Sort],1)</f>
        <v>20</v>
      </c>
      <c r="W47" t="str">
        <f>IF(COUNT(Games[QuadRank])&gt;0,_xlfn.RANK.EQ(Games[[#This Row],[QuadSort]],Games[QuadSort],1),"")</f>
        <v/>
      </c>
      <c r="X47" s="5" t="s">
        <v>57</v>
      </c>
      <c r="Y47" s="5"/>
    </row>
    <row r="48" spans="2:25" x14ac:dyDescent="0.2">
      <c r="B48" s="13" t="b">
        <v>0</v>
      </c>
      <c r="C48" t="s">
        <v>30</v>
      </c>
      <c r="D48" s="14"/>
      <c r="E48" t="s">
        <v>33</v>
      </c>
      <c r="J48" s="7" t="str">
        <f>TEXT(Games[[#This Row],[Date]], "ddd")</f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5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12"/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1.0000002955182852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1.0000002955182852</v>
      </c>
      <c r="V48">
        <f ca="1">_xlfn.RANK.EQ(Games[[#This Row],[Sort]],Games[Sort],1)</f>
        <v>5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28</v>
      </c>
      <c r="D49" s="14"/>
      <c r="E49" t="s">
        <v>34</v>
      </c>
      <c r="J49" s="7" t="str">
        <f>TEXT(Games[[#This Row],[Date]], "ddd")</f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5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12"/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1.0000015317828923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1.0000015317828923</v>
      </c>
      <c r="V49">
        <f ca="1">_xlfn.RANK.EQ(Games[[#This Row],[Sort]],Games[Sort],1)</f>
        <v>47</v>
      </c>
      <c r="W49" t="str">
        <f>IF(COUNT(Games[QuadRank])&gt;0,_xlfn.RANK.EQ(Games[[#This Row],[QuadSort]],Games[QuadSort],1),"")</f>
        <v/>
      </c>
      <c r="X49" s="5" t="s">
        <v>52</v>
      </c>
      <c r="Y49" s="5"/>
    </row>
    <row r="50" spans="2:25" x14ac:dyDescent="0.2">
      <c r="B50" s="13" t="b">
        <v>0</v>
      </c>
      <c r="C50" t="s">
        <v>30</v>
      </c>
      <c r="D50" s="14"/>
      <c r="E50" t="s">
        <v>34</v>
      </c>
      <c r="J50" s="7" t="str">
        <f>TEXT(Games[[#This Row],[Date]], "ddd")</f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5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12"/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1.0000009676870252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1.0000009676870252</v>
      </c>
      <c r="V50">
        <f ca="1">_xlfn.RANK.EQ(Games[[#This Row],[Sort]],Games[Sort],1)</f>
        <v>31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0</v>
      </c>
      <c r="C51" t="s">
        <v>30</v>
      </c>
      <c r="D51" s="14"/>
      <c r="E51" t="s">
        <v>32</v>
      </c>
      <c r="J51" s="7" t="str">
        <f>TEXT(Games[[#This Row],[Date]], "ddd")</f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5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12"/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1.0000004422795488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1.0000004422795488</v>
      </c>
      <c r="V51">
        <f ca="1">_xlfn.RANK.EQ(Games[[#This Row],[Sort]],Games[Sort],1)</f>
        <v>13</v>
      </c>
      <c r="W51" t="str">
        <f>IF(COUNT(Games[QuadRank])&gt;0,_xlfn.RANK.EQ(Games[[#This Row],[QuadSort]],Games[QuadSort],1),"")</f>
        <v/>
      </c>
      <c r="X51" s="5" t="s">
        <v>58</v>
      </c>
      <c r="Y51" s="5"/>
    </row>
    <row r="52" spans="2:25" x14ac:dyDescent="0.2">
      <c r="B52" s="13" t="b">
        <v>0</v>
      </c>
      <c r="C52" t="s">
        <v>30</v>
      </c>
      <c r="D52" s="14"/>
      <c r="E52" t="s">
        <v>37</v>
      </c>
      <c r="J52" s="7" t="str">
        <f>TEXT(Games[[#This Row],[Date]], "ddd")</f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5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12"/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1.0000004181026667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1.0000004181026667</v>
      </c>
      <c r="V52">
        <f ca="1">_xlfn.RANK.EQ(Games[[#This Row],[Sort]],Games[Sort],1)</f>
        <v>12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5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12"/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1.000001760358912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1.000001760358912</v>
      </c>
      <c r="V53">
        <f ca="1">_xlfn.RANK.EQ(Games[[#This Row],[Sort]],Games[Sort],1)</f>
        <v>56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5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12"/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1.0000020683253503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1.0000020683253503</v>
      </c>
      <c r="V54">
        <f ca="1">_xlfn.RANK.EQ(Games[[#This Row],[Sort]],Games[Sort],1)</f>
        <v>60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5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12"/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1.000001880195478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1.000001880195478</v>
      </c>
      <c r="V55">
        <f ca="1">_xlfn.RANK.EQ(Games[[#This Row],[Sort]],Games[Sort],1)</f>
        <v>58</v>
      </c>
      <c r="W55" t="str">
        <f>IF(COUNT(Games[QuadRank])&gt;0,_xlfn.RANK.EQ(Games[[#This Row],[QuadSort]],Games[QuadSort],1),"")</f>
        <v/>
      </c>
      <c r="X55" s="5" t="s">
        <v>59</v>
      </c>
      <c r="Y55" s="5"/>
    </row>
    <row r="56" spans="2:25" x14ac:dyDescent="0.2">
      <c r="J56" s="7" t="str">
        <f>TEXT(Games[[#This Row],[Date]], "ddd")</f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5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12"/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1.0000021881619161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1.0000021881619161</v>
      </c>
      <c r="V56">
        <f ca="1">_xlfn.RANK.EQ(Games[[#This Row],[Sort]],Games[Sort],1)</f>
        <v>67</v>
      </c>
      <c r="W56" t="str">
        <f>IF(COUNT(Games[QuadRank])&gt;0,_xlfn.RANK.EQ(Games[[#This Row],[QuadSort]],Games[QuadSort],1),"")</f>
        <v/>
      </c>
      <c r="X56" s="5" t="s">
        <v>60</v>
      </c>
      <c r="Y56" s="5"/>
    </row>
    <row r="57" spans="2:25" x14ac:dyDescent="0.2">
      <c r="J57" s="7" t="str">
        <f>TEXT(Games[[#This Row],[Date]], "ddd")</f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5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12"/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1.0000007906921342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1.0000007906921342</v>
      </c>
      <c r="V57">
        <f ca="1">_xlfn.RANK.EQ(Games[[#This Row],[Sort]],Games[Sort],1)</f>
        <v>21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5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12"/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1.0000021087714974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1.0000021087714974</v>
      </c>
      <c r="V58">
        <f ca="1">_xlfn.RANK.EQ(Games[[#This Row],[Sort]],Games[Sort],1)</f>
        <v>61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5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12"/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1.0000007113017155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1.0000007113017155</v>
      </c>
      <c r="V59">
        <f ca="1">_xlfn.RANK.EQ(Games[[#This Row],[Sort]],Games[Sort],1)</f>
        <v>17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5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12"/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1.000001415172403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1.000001415172403</v>
      </c>
      <c r="V60">
        <f ca="1">_xlfn.RANK.EQ(Games[[#This Row],[Sort]],Games[Sort],1)</f>
        <v>44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5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12"/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1.0000010519924281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1.0000010519924281</v>
      </c>
      <c r="V61">
        <f ca="1">_xlfn.RANK.EQ(Games[[#This Row],[Sort]],Games[Sort],1)</f>
        <v>33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5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12"/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1.0000017266507089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1.0000017266507089</v>
      </c>
      <c r="V62">
        <f ca="1">_xlfn.RANK.EQ(Games[[#This Row],[Sort]],Games[Sort],1)</f>
        <v>54</v>
      </c>
      <c r="W62" t="str">
        <f>IF(COUNT(Games[QuadRank])&gt;0,_xlfn.RANK.EQ(Games[[#This Row],[QuadSort]],Games[QuadSort],1),"")</f>
        <v/>
      </c>
      <c r="X62" s="5" t="s">
        <v>27</v>
      </c>
      <c r="Y62" s="5"/>
    </row>
    <row r="63" spans="2:25" x14ac:dyDescent="0.2">
      <c r="J63" s="7" t="str">
        <f>TEXT(Games[[#This Row],[Date]], "ddd")</f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5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12"/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1.0000027022151117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1.0000027022151117</v>
      </c>
      <c r="V63">
        <f ca="1">_xlfn.RANK.EQ(Games[[#This Row],[Sort]],Games[Sort],1)</f>
        <v>80</v>
      </c>
      <c r="W63" t="str">
        <f>IF(COUNT(Games[QuadRank])&gt;0,_xlfn.RANK.EQ(Games[[#This Row],[QuadSort]],Games[QuadSort],1),"")</f>
        <v/>
      </c>
      <c r="X63" s="5" t="s">
        <v>61</v>
      </c>
      <c r="Y63" s="5"/>
    </row>
    <row r="64" spans="2:25" x14ac:dyDescent="0.2">
      <c r="J64" s="7" t="str">
        <f>TEXT(Games[[#This Row],[Date]], "ddd")</f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5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12"/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1.0000014004050135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1.0000014004050135</v>
      </c>
      <c r="V64">
        <f ca="1">_xlfn.RANK.EQ(Games[[#This Row],[Sort]],Games[Sort],1)</f>
        <v>43</v>
      </c>
      <c r="W64" t="str">
        <f>IF(COUNT(Games[QuadRank])&gt;0,_xlfn.RANK.EQ(Games[[#This Row],[QuadSort]],Games[QuadSort],1),"")</f>
        <v/>
      </c>
      <c r="X64" s="5" t="s">
        <v>52</v>
      </c>
      <c r="Y64" s="5"/>
    </row>
    <row r="65" spans="10:25" x14ac:dyDescent="0.2">
      <c r="J65" s="7" t="str">
        <f>TEXT(Games[[#This Row],[Date]], "ddd")</f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5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12"/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1.0000003419383243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1.0000003419383243</v>
      </c>
      <c r="V65">
        <f ca="1">_xlfn.RANK.EQ(Games[[#This Row],[Sort]],Games[Sort],1)</f>
        <v>8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5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12"/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1.0000003109016697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1.0000003109016697</v>
      </c>
      <c r="V66">
        <f ca="1">_xlfn.RANK.EQ(Games[[#This Row],[Sort]],Games[Sort],1)</f>
        <v>6</v>
      </c>
      <c r="W66" t="str">
        <f>IF(COUNT(Games[QuadRank])&gt;0,_xlfn.RANK.EQ(Games[[#This Row],[QuadSort]],Games[QuadSort],1),"")</f>
        <v/>
      </c>
      <c r="X66" s="5" t="s">
        <v>62</v>
      </c>
      <c r="Y66" s="5"/>
    </row>
    <row r="67" spans="10:25" x14ac:dyDescent="0.2">
      <c r="J67" s="7" t="str">
        <f>TEXT(Games[[#This Row],[Date]], "ddd")</f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5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12"/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1.0000002867247877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1.0000002867247877</v>
      </c>
      <c r="V67">
        <f ca="1">_xlfn.RANK.EQ(Games[[#This Row],[Sort]],Games[Sort],1)</f>
        <v>4</v>
      </c>
      <c r="W67" t="str">
        <f>IF(COUNT(Games[QuadRank])&gt;0,_xlfn.RANK.EQ(Games[[#This Row],[QuadSort]],Games[QuadSort],1),"")</f>
        <v/>
      </c>
      <c r="X67" s="5" t="s">
        <v>63</v>
      </c>
      <c r="Y67" s="5"/>
    </row>
    <row r="68" spans="10:25" x14ac:dyDescent="0.2">
      <c r="J68" s="7" t="str">
        <f>TEXT(Games[[#This Row],[Date]], "ddd")</f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5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12"/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1.0000016289810332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1.0000016289810332</v>
      </c>
      <c r="V68">
        <f ca="1">_xlfn.RANK.EQ(Games[[#This Row],[Sort]],Games[Sort],1)</f>
        <v>50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5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12"/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1.0000023328517207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1.0000023328517207</v>
      </c>
      <c r="V69">
        <f ca="1">_xlfn.RANK.EQ(Games[[#This Row],[Sort]],Games[Sort],1)</f>
        <v>71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5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12"/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1.0000007455644466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1.0000007455644466</v>
      </c>
      <c r="V70">
        <f ca="1">_xlfn.RANK.EQ(Games[[#This Row],[Sort]],Games[Sort],1)</f>
        <v>19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5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12"/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1.000001748817599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1.000001748817599</v>
      </c>
      <c r="V71">
        <f ca="1">_xlfn.RANK.EQ(Games[[#This Row],[Sort]],Games[Sort],1)</f>
        <v>55</v>
      </c>
      <c r="W71" t="str">
        <f>IF(COUNT(Games[QuadRank])&gt;0,_xlfn.RANK.EQ(Games[[#This Row],[QuadSort]],Games[QuadSort],1),"")</f>
        <v/>
      </c>
      <c r="X71" s="5" t="s">
        <v>64</v>
      </c>
      <c r="Y71" s="5"/>
    </row>
    <row r="72" spans="10:25" x14ac:dyDescent="0.2">
      <c r="J72" s="7" t="str">
        <f>TEXT(Games[[#This Row],[Date]], "ddd")</f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5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12"/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1.0000014252582521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1.0000014252582521</v>
      </c>
      <c r="V72">
        <f ca="1">_xlfn.RANK.EQ(Games[[#This Row],[Sort]],Games[Sort],1)</f>
        <v>45</v>
      </c>
      <c r="W72" t="str">
        <f>IF(COUNT(Games[QuadRank])&gt;0,_xlfn.RANK.EQ(Games[[#This Row],[QuadSort]],Games[QuadSort],1),"")</f>
        <v/>
      </c>
      <c r="X72" s="5" t="s">
        <v>65</v>
      </c>
      <c r="Y72" s="5"/>
    </row>
    <row r="73" spans="10:25" x14ac:dyDescent="0.2">
      <c r="J73" s="7" t="str">
        <f>TEXT(Games[[#This Row],[Date]], "ddd")</f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5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12"/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1.0000013942215975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1.0000013942215975</v>
      </c>
      <c r="V73">
        <f ca="1">_xlfn.RANK.EQ(Games[[#This Row],[Sort]],Games[Sort],1)</f>
        <v>42</v>
      </c>
      <c r="W73" t="str">
        <f>IF(COUNT(Games[QuadRank])&gt;0,_xlfn.RANK.EQ(Games[[#This Row],[QuadSort]],Games[QuadSort],1),"")</f>
        <v/>
      </c>
      <c r="X73" s="5" t="s">
        <v>66</v>
      </c>
      <c r="Y73" s="5"/>
    </row>
    <row r="74" spans="10:25" x14ac:dyDescent="0.2">
      <c r="J74" s="7" t="str">
        <f>TEXT(Games[[#This Row],[Date]], "ddd")</f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5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12"/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1.0000027123009607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1.0000027123009607</v>
      </c>
      <c r="V74">
        <f ca="1">_xlfn.RANK.EQ(Games[[#This Row],[Sort]],Games[Sort],1)</f>
        <v>81</v>
      </c>
      <c r="W74" t="str">
        <f>IF(COUNT(Games[QuadRank])&gt;0,_xlfn.RANK.EQ(Games[[#This Row],[QuadSort]],Games[QuadSort],1),"")</f>
        <v/>
      </c>
      <c r="X74" s="5" t="s">
        <v>67</v>
      </c>
      <c r="Y74" s="5"/>
    </row>
    <row r="75" spans="10:25" x14ac:dyDescent="0.2">
      <c r="J75" s="7" t="str">
        <f>TEXT(Games[[#This Row],[Date]], "ddd")</f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5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12"/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1.0000013148311788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1.0000013148311788</v>
      </c>
      <c r="V75">
        <f ca="1">_xlfn.RANK.EQ(Games[[#This Row],[Sort]],Games[Sort],1)</f>
        <v>40</v>
      </c>
      <c r="W75" t="str">
        <f>IF(COUNT(Games[QuadRank])&gt;0,_xlfn.RANK.EQ(Games[[#This Row],[QuadSort]],Games[QuadSort],1),"")</f>
        <v/>
      </c>
      <c r="X75" s="5" t="s">
        <v>67</v>
      </c>
      <c r="Y75" s="5"/>
    </row>
    <row r="76" spans="10:25" x14ac:dyDescent="0.2">
      <c r="J76" s="7" t="str">
        <f>TEXT(Games[[#This Row],[Date]], "ddd")</f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5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12"/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1.000001283794524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1.000001283794524</v>
      </c>
      <c r="V76">
        <f ca="1">_xlfn.RANK.EQ(Games[[#This Row],[Sort]],Games[Sort],1)</f>
        <v>38</v>
      </c>
      <c r="W76" t="str">
        <f>IF(COUNT(Games[QuadRank])&gt;0,_xlfn.RANK.EQ(Games[[#This Row],[QuadSort]],Games[QuadSort],1),"")</f>
        <v/>
      </c>
      <c r="X76" s="5" t="s">
        <v>67</v>
      </c>
      <c r="Y76" s="5"/>
    </row>
    <row r="77" spans="10:25" x14ac:dyDescent="0.2">
      <c r="J77" s="7" t="str">
        <f>TEXT(Games[[#This Row],[Date]], "ddd")</f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5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12"/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1.0000003209875188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1.0000003209875188</v>
      </c>
      <c r="V77">
        <f ca="1">_xlfn.RANK.EQ(Games[[#This Row],[Sort]],Games[Sort],1)</f>
        <v>7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5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12"/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1.0000013242406713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1.0000013242406713</v>
      </c>
      <c r="V78">
        <f ca="1">_xlfn.RANK.EQ(Games[[#This Row],[Sort]],Games[Sort],1)</f>
        <v>41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5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12"/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1.0000002657739822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1.0000002657739822</v>
      </c>
      <c r="V79">
        <f ca="1">_xlfn.RANK.EQ(Games[[#This Row],[Sort]],Games[Sort],1)</f>
        <v>2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5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12"/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1.0000020039344768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1.0000020039344768</v>
      </c>
      <c r="V80">
        <f ca="1">_xlfn.RANK.EQ(Games[[#This Row],[Sort]],Games[Sort],1)</f>
        <v>59</v>
      </c>
      <c r="W80" t="str">
        <f>IF(COUNT(Games[QuadRank])&gt;0,_xlfn.RANK.EQ(Games[[#This Row],[QuadSort]],Games[QuadSort],1),"")</f>
        <v/>
      </c>
      <c r="X80" s="5" t="s">
        <v>52</v>
      </c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5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12"/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1.0000009454677876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1.0000009454677876</v>
      </c>
      <c r="V81">
        <f ca="1">_xlfn.RANK.EQ(Games[[#This Row],[Sort]],Games[Sort],1)</f>
        <v>29</v>
      </c>
      <c r="W81" t="str">
        <f>IF(COUNT(Games[QuadRank])&gt;0,_xlfn.RANK.EQ(Games[[#This Row],[QuadSort]],Games[QuadSort],1),"")</f>
        <v/>
      </c>
      <c r="X81" s="5" t="s">
        <v>68</v>
      </c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5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12"/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1.0000007174442624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1.0000007174442624</v>
      </c>
      <c r="V82">
        <f ca="1">_xlfn.RANK.EQ(Games[[#This Row],[Sort]],Games[Sort],1)</f>
        <v>18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2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2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3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4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6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7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2026-10-04T13:57:52Z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