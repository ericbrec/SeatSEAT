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 2026\"/>
    </mc:Choice>
  </mc:AlternateContent>
  <xr:revisionPtr revIDLastSave="0" documentId="13_ncr:1_{A27B6708-A62E-4A40-A539-D0696D7F5239}" xr6:coauthVersionLast="47" xr6:coauthVersionMax="47" xr10:uidLastSave="{00000000-0000-0000-0000-000000000000}"/>
  <bookViews>
    <workbookView xWindow="7200" yWindow="4185" windowWidth="21600" windowHeight="11295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" i="1" l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AD28" i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Q79" i="1" l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<sst xmlns="http://schemas.openxmlformats.org/spreadsheetml/2006/main" count="283" uniqueCount="109">
  <si>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</si>
  <si>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</si>
  <si>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</si>
  <si>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</si>
  <si>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</si>
  <si>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</si>
  <si>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</si>
  <si>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</si>
  <si>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</si>
  <si>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</si>
  <si>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</si>
  <si>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</si>
  <si>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</si>
  <si>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</si>
  <si>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</si>
  <si>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</si>
  <si>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</si>
  <si>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</si>
  <si>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</si>
  <si>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</si>
  <si>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</si>
  <si>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</si>
  <si>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</si>
  <si>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</si>
  <si>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</si>
  <si>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</si>
  <si>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</si>
  <si>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</si>
  <si>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</si>
  <si>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</si>
  <si>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</si>
  <si>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</si>
  <si>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</si>
  <si>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</si>
  <si>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</si>
  <si>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</si>
  <si>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</si>
  <si>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</si>
  <si>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</si>
  <si>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</si>
  <si>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</si>
  <si>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</si>
  <si>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</si>
  <si>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</si>
  <si>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</si>
  <si>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</si>
  <si>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</si>
  <si>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</si>
  <si>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</si>
  <si>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</si>
  <si>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</si>
  <si>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</si>
  <si>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</si>
  <si>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</si>
  <si>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</si>
  <si>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</si>
  <si>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</si>
  <si>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</si>
  <si>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</si>
  <si>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</si>
  <si>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</si>
  <si>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</si>
  <si>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</si>
  <si>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</si>
  <si>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</si>
  <si>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</si>
  <si>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</si>
  <si>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</si>
  <si>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</si>
  <si>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</si>
  <si>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</si>
  <si>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</si>
  <si>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</si>
  <si>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</si>
  <si>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</si>
  <si>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</si>
  <si>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</si>
  <si>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</si>
  <si>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</si>
  <si>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</si>
  <si>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</si>
  <si>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</si>
  <si>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</si>
  <si>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</si>
  <si>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</si>
  <si>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</si>
  <si>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</si>
  <si>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</si>
  <si>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</si>
  <si>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</si>
  <si>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</si>
  <si>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</si>
  <si>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</si>
  <si>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</si>
  <si>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</si>
  <si>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</si>
  <si>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</si>
  <si>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</si>
  <si>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</si>
  <si>
    <t>Andrew Erisman</t>
  </si>
  <si>
    <t>Cole Graves</t>
  </si>
  <si>
    <t>Fritz Klein</t>
  </si>
  <si>
    <t>Jordan Bork</t>
  </si>
  <si>
    <t>Karen Boehmer</t>
  </si>
  <si>
    <t>Michael Erisman</t>
  </si>
  <si>
    <t>Michael Jones</t>
  </si>
  <si>
    <t>Michael Rochester</t>
  </si>
  <si>
    <t>Mike Neff</t>
  </si>
  <si>
    <t>Ryan Falls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</si>
</sst>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11">
    <xf numFmtId="0" fontId="0" fillId="0" borderId="0"/>
    <xf numFmtId="0" fontId="5" fillId="0" borderId="0"/>
    <xf numFmtId="0" fontId="4" fillId="0" borderId="0"/>
    <xf numFmtId="0" fontId="3" fillId="0" borderId="0"/>
    <xf numFmtId="44" fontId="8" fillId="0" borderId="0" applyFont="0" applyFill="0" applyBorder="0" applyAlignment="0" applyProtection="0"/>
    <xf numFmtId="0" fontId="2" fillId="0" borderId="0"/>
    <xf numFmtId="44" fontId="10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6" fillId="0" borderId="0" xfId="0" applyFont="1"/>
    <xf numFmtId="164" fontId="0" fillId="0" borderId="0" xfId="0" applyNumberFormat="1"/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7" fillId="0" borderId="0" xfId="0" applyFont="1" applyAlignment="1">
      <alignment horizontal="left" vertical="top" wrapText="1"/>
    </xf>
    <xf numFmtId="165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9" fillId="0" borderId="0" xfId="0" applyFont="1" applyAlignment="1">
      <alignment horizontal="left" vertical="center" wrapText="1"/>
    </xf>
    <xf numFmtId="165" fontId="9" fillId="0" borderId="0" xfId="0" applyNumberFormat="1" applyFont="1" applyAlignment="1">
      <alignment horizontal="left" vertical="center" wrapText="1"/>
    </xf>
    <xf numFmtId="166" fontId="9" fillId="0" borderId="0" xfId="0" applyNumberFormat="1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2" fillId="0" borderId="1" xfId="0" applyFont="1" applyBorder="1"/>
    <xf numFmtId="0" fontId="12" fillId="0" borderId="0" xfId="0" applyFont="1"/>
    <xf numFmtId="168" fontId="0" fillId="0" borderId="0" xfId="0" applyNumberFormat="1"/>
  </cellXfs>
  <cellStyles count="11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2 2" xfId="7" xr:uid="{5A1BAEB2-8AF6-4E85-944E-B09281C34BAC}"/>
    <cellStyle name="Normal 3" xfId="2" xr:uid="{00000000-0005-0000-0000-000004000000}"/>
    <cellStyle name="Normal 3 2" xfId="8" xr:uid="{DF30F84E-8102-4478-A07E-AF96CD83B961}"/>
    <cellStyle name="Normal 4" xfId="3" xr:uid="{00000000-0005-0000-0000-000005000000}"/>
    <cellStyle name="Normal 4 2" xfId="9" xr:uid="{2CC2089E-B26C-4672-BE6B-46FA50DA5ADA}"/>
    <cellStyle name="Normal 5" xfId="5" xr:uid="{AF0439D6-8192-4E89-93DB-F527DA4E9322}"/>
    <cellStyle name="Normal 5 2" xfId="10" xr:uid="{3A1A56AA-3C7A-4061-B590-CBE716B887D5}"/>
  </cellStyles>
  <dxfs count="2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4"/>
    <tableColumn id="2" xr3:uid="{00000000-0010-0000-0000-000002000000}" name="Date" dataDxfId="23"/>
    <tableColumn id="5" xr3:uid="{00000000-0010-0000-0000-000005000000}" name="Time" dataDxfId="22"/>
    <tableColumn id="4" xr3:uid="{00000000-0010-0000-0000-000004000000}" name="Opponent" dataDxfId="21"/>
    <tableColumn id="7" xr3:uid="{9E8F088B-1EA6-44CA-B818-1F7D43F5D5E7}" name="Type" dataCellStyle="Normal"/>
    <tableColumn id="8" xr3:uid="{AA6D2002-4C78-4093-9793-A575FAC0F72F}" name="Price" dataDxfId="20" dataCellStyle="Currency">
      <calculatedColumnFormula>_xlfn.XLOOKUP(Games[[#This Row],[Type]],Types[Type],Types[Price])</calculatedColumnFormula>
    </tableColumn>
    <tableColumn id="21" xr3:uid="{6605C5A5-6B7D-4186-8D6F-A61D7DFDD8D4}" name="GamePairs" dataDxfId="19">
      <calculatedColumnFormula>_xlfn.XLOOKUP(Games[[#This Row],[Type]],Types[Type],Types[Pairs])</calculatedColumnFormula>
    </tableColumn>
    <tableColumn id="15" xr3:uid="{9471ECAA-F4C1-478C-B117-15D31D83B2FA}" name="Seats" dataDxfId="18">
      <calculatedColumnFormula>TEXT(Games[[#This Row],[Price]],"$#,##0.00")&amp;" ("&amp;Games[[#This Row],[GamePairs]]*2&amp;")"</calculatedColumnFormula>
    </tableColumn>
    <tableColumn id="6" xr3:uid="{00000000-0010-0000-0000-000006000000}" name="Rank" dataDxfId="17"/>
    <tableColumn id="10" xr3:uid="{00000000-0010-0000-0000-00000A000000}" name="QuadRank" dataDxfId="16" dataCellStyle="Normal 2"/>
    <tableColumn id="13" xr3:uid="{10011C92-A32E-4605-8584-BDBE5EABC83A}" name="Sort" dataDxfId="15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4">
      <calculatedColumnFormula array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3">
      <calculatedColumnFormula>_xlfn.RANK.EQ(Games[[#This Row],[Sort]],Games[Sort],1)</calculatedColumnFormula>
    </tableColumn>
    <tableColumn id="9" xr3:uid="{FE7F021A-A7DE-4DDD-9CB4-33114D9B6A5E}" name="QuadPick" dataDxfId="12">
      <calculatedColumnFormula>IF(COUNT(Games[QuadRank])&gt;0,_xlfn.RANK.EQ(Games[[#This Row],[QuadSort]],Games[QuadSort],1),"")</calculatedColumnFormula>
    </tableColumn>
    <tableColumn id="1" xr3:uid="{E202D478-E193-4757-B123-9D114B30B5E4}" name="Promotions" dataDxfId="11"/>
    <tableColumn id="14" xr3:uid="{02873305-C254-48E4-9E8D-324FD18F7B69}" name="Comments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9" totalsRowDxfId="8"/>
    <tableColumn id="2" xr3:uid="{D785142C-C4FC-418F-A0C8-7745E2B467E4}" name="Price" dataDxfId="7" dataCellStyle="Currency" totalsRowCellStyle="Currency"/>
    <tableColumn id="3" xr3:uid="{F14FCFFA-E6B3-465B-BEC9-D1AFB23F6C0D}" name="Pairs"/>
    <tableColumn id="4" xr3:uid="{77C90207-35F5-4AB4-B4C2-39C4FABA9268}" name="Games" totalsRowFunction="sum" dataDxfId="6">
      <calculatedColumnFormula>COUNTIF(Games[Type],Types[[#This Row],[Type]])</calculatedColumnFormula>
    </tableColumn>
    <tableColumn id="5" xr3:uid="{B143CB75-DF50-4323-85C5-10526A2643E2}" name="Tickets" totalsRowFunction="sum" dataDxfId="5">
      <calculatedColumnFormula>Types[[#This Row],[Games]]*Types[[#This Row],[Pairs]]*2</calculatedColumnFormula>
    </tableColumn>
    <tableColumn id="6" xr3:uid="{1050CF1C-249D-4CE7-A143-304C5582C5BA}" name="Cost" totalsRowFunction="sum" dataDxfId="4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2" activePane="bottomLeft" state="frozen"/>
      <selection pane="bottomLeft" activeCell="R2" sqref="R2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8" customWidth="1"/>
    <col min="20" max="21" width="13.42578125" hidden="1" customWidth="1"/>
    <col min="22" max="22" width="8.28515625" bestFit="1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  <col min="32" max="32" width="11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/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3.4764060584751711E-7</v>
      </c>
      <c r="U2" cm="1">
        <f t="array" aca="1" ref="U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3.4764060584751711E-7</v>
      </c>
      <c r="V2">
        <f ca="1">_xlfn.RANK.EQ(Games[[#This Row],[Sort]],Games[Sort],1)</f>
        <v>9</v>
      </c>
      <c r="W2" t="str">
        <f>IF(COUNT(Games[QuadRank])&gt;0,_xlfn.RANK.EQ(Games[[#This Row],[QuadSort]],Games[QuadSort],1),"")</f>
        <v/>
      </c>
      <c r="X2" s="5" t="s">
        <v>38</v>
      </c>
      <c r="Y2" s="5"/>
      <c r="AA2" s="21" t="s">
        <v>79</v>
      </c>
      <c r="AB2" s="22">
        <v>14</v>
      </c>
      <c r="AC2" s="22">
        <v>1</v>
      </c>
      <c r="AD2">
        <f>Names[[#This Row],[Pairs]]+Names[[#This Row],[Quads]]</f>
        <v>15</v>
      </c>
      <c r="AE2">
        <f>Names[[#This Row],[Pairs]]*2 + Names[[#This Row],[Quads]]*4</f>
        <v>32</v>
      </c>
    </row>
    <row r="3" spans="1:31" x14ac:dyDescent="0.2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12"/>
      <c r="S3" s="16"/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3.6039492051589163E-7</v>
      </c>
      <c r="U3" cm="1">
        <f t="array" aca="1" ref="U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3.6039492051589163E-7</v>
      </c>
      <c r="V3">
        <f ca="1">_xlfn.RANK.EQ(Games[[#This Row],[Sort]],Games[Sort],1)</f>
        <v>10</v>
      </c>
      <c r="W3" t="str">
        <f>IF(COUNT(Games[QuadRank])&gt;0,_xlfn.RANK.EQ(Games[[#This Row],[QuadSort]],Games[QuadSort],1),"")</f>
        <v/>
      </c>
      <c r="X3" s="5" t="s">
        <v>39</v>
      </c>
      <c r="Y3" s="5"/>
      <c r="AA3" s="21" t="s">
        <v>99</v>
      </c>
      <c r="AB3" s="22">
        <v>0</v>
      </c>
      <c r="AC3" s="22">
        <v>9</v>
      </c>
      <c r="AD3">
        <f>Names[[#This Row],[Pairs]]+Names[[#This Row],[Quads]]</f>
        <v>9</v>
      </c>
      <c r="AE3">
        <f>Names[[#This Row],[Pairs]]*2 + Names[[#This Row],[Quads]]*4</f>
        <v>36</v>
      </c>
    </row>
    <row r="4" spans="1:31" x14ac:dyDescent="0.2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12"/>
      <c r="S4" s="16"/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6.3143016209136949E-7</v>
      </c>
      <c r="U4" cm="1">
        <f t="array" aca="1" ref="U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6.3143016209136949E-7</v>
      </c>
      <c r="V4">
        <f ca="1">_xlfn.RANK.EQ(Games[[#This Row],[Sort]],Games[Sort],1)</f>
        <v>16</v>
      </c>
      <c r="W4" t="str">
        <f>IF(COUNT(Games[QuadRank])&gt;0,_xlfn.RANK.EQ(Games[[#This Row],[QuadSort]],Games[QuadSort],1),"")</f>
        <v/>
      </c>
      <c r="X4" s="5" t="s">
        <v>40</v>
      </c>
      <c r="Y4" s="5"/>
      <c r="AA4" s="21" t="s">
        <v>100</v>
      </c>
      <c r="AB4" s="22">
        <v>5</v>
      </c>
      <c r="AC4" s="22">
        <v>3</v>
      </c>
      <c r="AD4">
        <f>Names[[#This Row],[Pairs]]+Names[[#This Row],[Quads]]</f>
        <v>8</v>
      </c>
      <c r="AE4">
        <f>Names[[#This Row],[Pairs]]*2 + Names[[#This Row],[Quads]]*4</f>
        <v>22</v>
      </c>
    </row>
    <row r="5" spans="1:31" x14ac:dyDescent="0.2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12"/>
      <c r="S5" s="16"/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2.1877972543086499E-6</v>
      </c>
      <c r="U5" cm="1">
        <f t="array" aca="1" ref="U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2.1877972543086499E-6</v>
      </c>
      <c r="V5">
        <f ca="1">_xlfn.RANK.EQ(Games[[#This Row],[Sort]],Games[Sort],1)</f>
        <v>66</v>
      </c>
      <c r="W5" t="str">
        <f>IF(COUNT(Games[QuadRank])&gt;0,_xlfn.RANK.EQ(Games[[#This Row],[QuadSort]],Games[QuadSort],1),"")</f>
        <v/>
      </c>
      <c r="X5" s="5"/>
      <c r="Y5" s="5"/>
      <c r="AA5" t="s">
        <v>80</v>
      </c>
      <c r="AB5">
        <v>22</v>
      </c>
      <c r="AC5">
        <v>0</v>
      </c>
      <c r="AD5">
        <f>Names[[#This Row],[Pairs]]+Names[[#This Row],[Quads]]</f>
        <v>22</v>
      </c>
      <c r="AE5">
        <f>Names[[#This Row],[Pairs]]*2 + Names[[#This Row],[Quads]]*4</f>
        <v>44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/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1.3111239675534507E-6</v>
      </c>
      <c r="U6" cm="1">
        <f t="array" aca="1" ref="U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1.3111239675534507E-6</v>
      </c>
      <c r="V6">
        <f ca="1">_xlfn.RANK.EQ(Games[[#This Row],[Sort]],Games[Sort],1)</f>
        <v>39</v>
      </c>
      <c r="W6" t="str">
        <f>IF(COUNT(Games[QuadRank])&gt;0,_xlfn.RANK.EQ(Games[[#This Row],[QuadSort]],Games[QuadSort],1),"")</f>
        <v/>
      </c>
      <c r="X6" s="5"/>
      <c r="Y6" s="5"/>
      <c r="AA6" t="s">
        <v>101</v>
      </c>
      <c r="AB6">
        <v>8</v>
      </c>
      <c r="AC6">
        <v>2</v>
      </c>
      <c r="AD6">
        <f>Names[[#This Row],[Pairs]]+Names[[#This Row],[Quads]]</f>
        <v>10</v>
      </c>
      <c r="AE6">
        <f>Names[[#This Row],[Pairs]]*2 + Names[[#This Row],[Quads]]*4</f>
        <v>24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/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2.6533802129226189E-6</v>
      </c>
      <c r="U7" cm="1">
        <f t="array" aca="1" ref="U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2.6533802129226189E-6</v>
      </c>
      <c r="V7">
        <f ca="1">_xlfn.RANK.EQ(Games[[#This Row],[Sort]],Games[Sort],1)</f>
        <v>79</v>
      </c>
      <c r="W7" t="str">
        <f>IF(COUNT(Games[QuadRank])&gt;0,_xlfn.RANK.EQ(Games[[#This Row],[QuadSort]],Games[QuadSort],1),"")</f>
        <v/>
      </c>
      <c r="X7" s="5"/>
      <c r="Y7" s="5"/>
      <c r="AA7" t="s">
        <v>102</v>
      </c>
      <c r="AB7">
        <v>6</v>
      </c>
      <c r="AC7">
        <v>3</v>
      </c>
      <c r="AD7">
        <f>Names[[#This Row],[Pairs]]+Names[[#This Row],[Quads]]</f>
        <v>9</v>
      </c>
      <c r="AE7">
        <f>Names[[#This Row],[Pairs]]*2 + Names[[#This Row],[Quads]]*4</f>
        <v>24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/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2.6223435583333038E-6</v>
      </c>
      <c r="U8" cm="1">
        <f t="array" aca="1" ref="U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2.6223435583333038E-6</v>
      </c>
      <c r="V8">
        <f ca="1">_xlfn.RANK.EQ(Games[[#This Row],[Sort]],Games[Sort],1)</f>
        <v>77</v>
      </c>
      <c r="W8" t="str">
        <f>IF(COUNT(Games[QuadRank])&gt;0,_xlfn.RANK.EQ(Games[[#This Row],[QuadSort]],Games[QuadSort],1),"")</f>
        <v/>
      </c>
      <c r="X8" s="5"/>
      <c r="Y8" s="5"/>
      <c r="AA8" t="s">
        <v>103</v>
      </c>
      <c r="AB8">
        <v>1</v>
      </c>
      <c r="AC8">
        <v>4</v>
      </c>
      <c r="AD8">
        <f>Names[[#This Row],[Pairs]]+Names[[#This Row],[Quads]]</f>
        <v>5</v>
      </c>
      <c r="AE8">
        <f>Names[[#This Row],[Pairs]]*2 + Names[[#This Row],[Quads]]*4</f>
        <v>18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/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3.7249384435174397E-7</v>
      </c>
      <c r="U9" cm="1">
        <f t="array" aca="1" ref="U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3.7249384435174397E-7</v>
      </c>
      <c r="V9">
        <f ca="1">_xlfn.RANK.EQ(Games[[#This Row],[Sort]],Games[Sort],1)</f>
        <v>11</v>
      </c>
      <c r="W9" t="str">
        <f>IF(COUNT(Games[QuadRank])&gt;0,_xlfn.RANK.EQ(Games[[#This Row],[QuadSort]],Games[QuadSort],1),"")</f>
        <v/>
      </c>
      <c r="X9" s="5" t="s">
        <v>41</v>
      </c>
      <c r="Y9" s="5"/>
      <c r="AA9" t="s">
        <v>104</v>
      </c>
      <c r="AB9">
        <v>6</v>
      </c>
      <c r="AC9">
        <v>2</v>
      </c>
      <c r="AD9">
        <f>Names[[#This Row],[Pairs]]+Names[[#This Row],[Quads]]</f>
        <v>8</v>
      </c>
      <c r="AE9">
        <f>Names[[#This Row],[Pairs]]*2 + Names[[#This Row],[Quads]]*4</f>
        <v>20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/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1.7147500897209123E-6</v>
      </c>
      <c r="U10" cm="1">
        <f t="array" aca="1" ref="U1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1.7147500897209123E-6</v>
      </c>
      <c r="V10">
        <f ca="1">_xlfn.RANK.EQ(Games[[#This Row],[Sort]],Games[Sort],1)</f>
        <v>53</v>
      </c>
      <c r="W10" t="str">
        <f>IF(COUNT(Games[QuadRank])&gt;0,_xlfn.RANK.EQ(Games[[#This Row],[QuadSort]],Games[QuadSort],1),"")</f>
        <v/>
      </c>
      <c r="X10" s="5" t="s">
        <v>42</v>
      </c>
      <c r="Y10" s="5"/>
      <c r="AA10" t="s">
        <v>105</v>
      </c>
      <c r="AB10">
        <v>4</v>
      </c>
      <c r="AC10">
        <v>0</v>
      </c>
      <c r="AD10">
        <f>Names[[#This Row],[Pairs]]+Names[[#This Row],[Quads]]</f>
        <v>4</v>
      </c>
      <c r="AE10">
        <f>Names[[#This Row],[Pairs]]*2 + Names[[#This Row],[Quads]]*4</f>
        <v>8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/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1.6837134351315972E-6</v>
      </c>
      <c r="U11" cm="1">
        <f t="array" aca="1" ref="U1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1.6837134351315972E-6</v>
      </c>
      <c r="V11">
        <f ca="1">_xlfn.RANK.EQ(Games[[#This Row],[Sort]],Games[Sort],1)</f>
        <v>52</v>
      </c>
      <c r="W11" t="str">
        <f>IF(COUNT(Games[QuadRank])&gt;0,_xlfn.RANK.EQ(Games[[#This Row],[QuadSort]],Games[QuadSort],1),"")</f>
        <v/>
      </c>
      <c r="X11" s="5"/>
      <c r="Y11" s="5"/>
      <c r="AA11" t="s">
        <v>106</v>
      </c>
      <c r="AB11">
        <v>5</v>
      </c>
      <c r="AC11">
        <v>0</v>
      </c>
      <c r="AD11">
        <f>Names[[#This Row],[Pairs]]+Names[[#This Row],[Quads]]</f>
        <v>5</v>
      </c>
      <c r="AE11">
        <f>Names[[#This Row],[Pairs]]*2 + Names[[#This Row],[Quads]]*4</f>
        <v>10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12"/>
      <c r="S12" s="16"/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2.8624365310350511E-7</v>
      </c>
      <c r="U12" cm="1">
        <f t="array" aca="1" ref="U1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2.8624365310350511E-7</v>
      </c>
      <c r="V12">
        <f ca="1">_xlfn.RANK.EQ(Games[[#This Row],[Sort]],Games[Sort],1)</f>
        <v>3</v>
      </c>
      <c r="W12" t="str">
        <f>IF(COUNT(Games[QuadRank])&gt;0,_xlfn.RANK.EQ(Games[[#This Row],[QuadSort]],Games[QuadSort],1),"")</f>
        <v/>
      </c>
      <c r="X12" s="5"/>
      <c r="Y12" s="5"/>
      <c r="AA12" t="s">
        <v>107</v>
      </c>
      <c r="AB12">
        <v>7</v>
      </c>
      <c r="AC12">
        <v>4</v>
      </c>
      <c r="AD12">
        <f>Names[[#This Row],[Pairs]]+Names[[#This Row],[Quads]]</f>
        <v>11</v>
      </c>
      <c r="AE12">
        <f>Names[[#This Row],[Pairs]]*2 + Names[[#This Row],[Quads]]*4</f>
        <v>30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12"/>
      <c r="S13" s="16"/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1.5491094797441404E-6</v>
      </c>
      <c r="U13" cm="1">
        <f t="array" aca="1" ref="U1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1.5491094797441404E-6</v>
      </c>
      <c r="V13">
        <f ca="1">_xlfn.RANK.EQ(Games[[#This Row],[Sort]],Games[Sort],1)</f>
        <v>48</v>
      </c>
      <c r="W13" t="str">
        <f>IF(COUNT(Games[QuadRank])&gt;0,_xlfn.RANK.EQ(Games[[#This Row],[QuadSort]],Games[QuadSort],1),"")</f>
        <v/>
      </c>
      <c r="X13" s="5" t="s">
        <v>43</v>
      </c>
      <c r="Y13" s="5"/>
      <c r="AA13" t="s">
        <v>108</v>
      </c>
      <c r="AB13">
        <v>5</v>
      </c>
      <c r="AC13">
        <v>3</v>
      </c>
      <c r="AD13">
        <f>Names[[#This Row],[Pairs]]+Names[[#This Row],[Quads]]</f>
        <v>8</v>
      </c>
      <c r="AE13">
        <f>Names[[#This Row],[Pairs]]*2 + Names[[#This Row],[Quads]]*4</f>
        <v>22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12"/>
      <c r="S14" s="16"/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9.6029205222244134E-7</v>
      </c>
      <c r="U14" cm="1">
        <f t="array" aca="1" ref="U1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9.6029205222244134E-7</v>
      </c>
      <c r="V14">
        <f ca="1">_xlfn.RANK.EQ(Games[[#This Row],[Sort]],Games[Sort],1)</f>
        <v>30</v>
      </c>
      <c r="W14" t="str">
        <f>IF(COUNT(Games[QuadRank])&gt;0,_xlfn.RANK.EQ(Games[[#This Row],[QuadSort]],Games[QuadSort],1),"")</f>
        <v/>
      </c>
      <c r="X14" s="5" t="s">
        <v>44</v>
      </c>
      <c r="Y14" s="5"/>
      <c r="AA14" t="s">
        <v>78</v>
      </c>
      <c r="AB14">
        <v>11</v>
      </c>
      <c r="AC14">
        <v>3</v>
      </c>
      <c r="AD14">
        <f>Names[[#This Row],[Pairs]]+Names[[#This Row],[Quads]]</f>
        <v>14</v>
      </c>
      <c r="AE14">
        <f>Names[[#This Row],[Pairs]]*2 + Names[[#This Row],[Quads]]*4</f>
        <v>34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12"/>
      <c r="S15" s="16"/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8.5551038524773838E-7</v>
      </c>
      <c r="U15" cm="1">
        <f t="array" aca="1" ref="U1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8.5551038524773838E-7</v>
      </c>
      <c r="V15">
        <f ca="1">_xlfn.RANK.EQ(Games[[#This Row],[Sort]],Games[Sort],1)</f>
        <v>24</v>
      </c>
      <c r="W15" t="str">
        <f>IF(COUNT(Games[QuadRank])&gt;0,_xlfn.RANK.EQ(Games[[#This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12"/>
      <c r="S16" s="16"/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8.3133350317812941E-7</v>
      </c>
      <c r="U16" cm="1">
        <f t="array" aca="1" ref="U1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8.3133350317812941E-7</v>
      </c>
      <c r="V16">
        <f ca="1">_xlfn.RANK.EQ(Games[[#This Row],[Sort]],Games[Sort],1)</f>
        <v>22</v>
      </c>
      <c r="W16" t="str">
        <f>IF(COUNT(Games[QuadRank])&gt;0,_xlfn.RANK.EQ(Games[[#This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12"/>
      <c r="S17" s="16"/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2.1735897485472975E-6</v>
      </c>
      <c r="U17" cm="1">
        <f t="array" aca="1" ref="U1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2.1735897485472975E-6</v>
      </c>
      <c r="V17">
        <f ca="1">_xlfn.RANK.EQ(Games[[#This Row],[Sort]],Games[Sort],1)</f>
        <v>64</v>
      </c>
      <c r="W17" t="str">
        <f>IF(COUNT(Games[QuadRank])&gt;0,_xlfn.RANK.EQ(Games[[#This Row],[QuadSort]],Games[QuadSort],1),"")</f>
        <v/>
      </c>
      <c r="X17" s="5"/>
      <c r="Y17" s="5"/>
      <c r="AA17" t="s">
        <v>81</v>
      </c>
      <c r="AB17">
        <f>SUBTOTAL(109,Names[Pairs])</f>
        <v>94</v>
      </c>
      <c r="AC17">
        <f>SUBTOTAL(109,Names[Quads])</f>
        <v>34</v>
      </c>
      <c r="AD17">
        <f>SUBTOTAL(109,Names[Games])</f>
        <v>128</v>
      </c>
      <c r="AE17">
        <f>SUBTOTAL(109,Names[Tickets])</f>
        <v>324</v>
      </c>
    </row>
    <row r="18" spans="2:32" x14ac:dyDescent="0.2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/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2.1425530939579829E-6</v>
      </c>
      <c r="U18" cm="1">
        <f t="array" aca="1" ref="U1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2.1425530939579829E-6</v>
      </c>
      <c r="V18">
        <f ca="1">_xlfn.RANK.EQ(Games[[#This Row],[Sort]],Games[Sort],1)</f>
        <v>62</v>
      </c>
      <c r="W18" t="str">
        <f>IF(COUNT(Games[QuadRank])&gt;0,_xlfn.RANK.EQ(Games[[#This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0</v>
      </c>
    </row>
    <row r="19" spans="2:32" x14ac:dyDescent="0.2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/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2.3756342059741282E-6</v>
      </c>
      <c r="U19" cm="1">
        <f t="array" aca="1" ref="U1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2.3756342059741282E-6</v>
      </c>
      <c r="V19">
        <f ca="1">_xlfn.RANK.EQ(Games[[#This Row],[Sort]],Games[Sort],1)</f>
        <v>72</v>
      </c>
      <c r="W19" t="str">
        <f>IF(COUNT(Games[QuadRank])&gt;0,_xlfn.RANK.EQ(Games[[#This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47</v>
      </c>
    </row>
    <row r="20" spans="2:32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/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1.2349596253455909E-6</v>
      </c>
      <c r="U20" cm="1">
        <f t="array" aca="1" ref="U2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1.2349596253455909E-6</v>
      </c>
      <c r="V20">
        <f ca="1">_xlfn.RANK.EQ(Games[[#This Row],[Sort]],Games[Sort],1)</f>
        <v>37</v>
      </c>
      <c r="W20" t="str">
        <f>IF(COUNT(Games[QuadRank])&gt;0,_xlfn.RANK.EQ(Games[[#This Row],[QuadSort]],Games[QuadSort],1),"")</f>
        <v/>
      </c>
      <c r="X20" s="5" t="s">
        <v>47</v>
      </c>
      <c r="Y20" s="5"/>
    </row>
    <row r="21" spans="2:32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/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1.203922970756276E-6</v>
      </c>
      <c r="U21" cm="1">
        <f t="array" aca="1" ref="U2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1.203922970756276E-6</v>
      </c>
      <c r="V21">
        <f ca="1">_xlfn.RANK.EQ(Games[[#This Row],[Sort]],Games[Sort],1)</f>
        <v>35</v>
      </c>
      <c r="W21" t="str">
        <f>IF(COUNT(Games[QuadRank])&gt;0,_xlfn.RANK.EQ(Games[[#This Row],[QuadSort]],Games[QuadSort],1),"")</f>
        <v/>
      </c>
      <c r="X21" s="5" t="s">
        <v>48</v>
      </c>
      <c r="Y21" s="5"/>
    </row>
    <row r="22" spans="2:32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/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1.1797460886866672E-6</v>
      </c>
      <c r="U22" cm="1">
        <f t="array" aca="1" ref="U2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1.1797460886866672E-6</v>
      </c>
      <c r="V22">
        <f ca="1">_xlfn.RANK.EQ(Games[[#This Row],[Sort]],Games[Sort],1)</f>
        <v>34</v>
      </c>
      <c r="W22" t="str">
        <f>IF(COUNT(Games[QuadRank])&gt;0,_xlfn.RANK.EQ(Games[[#This Row],[QuadSort]],Games[QuadSort],1),"")</f>
        <v/>
      </c>
      <c r="X22" s="5"/>
      <c r="Y22" s="5"/>
    </row>
    <row r="23" spans="2:32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12"/>
      <c r="S23" s="16"/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2.5220023340558351E-6</v>
      </c>
      <c r="U23" cm="1">
        <f t="array" aca="1" ref="U2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2.5220023340558351E-6</v>
      </c>
      <c r="V23">
        <f ca="1">_xlfn.RANK.EQ(Games[[#This Row],[Sort]],Games[Sort],1)</f>
        <v>75</v>
      </c>
      <c r="W23" t="str">
        <f>IF(COUNT(Games[QuadRank])&gt;0,_xlfn.RANK.EQ(Games[[#This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  <c r="AD23" t="s">
        <v>82</v>
      </c>
      <c r="AE23" t="s">
        <v>83</v>
      </c>
      <c r="AF23" t="s">
        <v>98</v>
      </c>
    </row>
    <row r="24" spans="2:32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12"/>
      <c r="S24" s="16"/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2.4909656794665204E-6</v>
      </c>
      <c r="U24" cm="1">
        <f t="array" aca="1" ref="U2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2.4909656794665204E-6</v>
      </c>
      <c r="V24">
        <f ca="1">_xlfn.RANK.EQ(Games[[#This Row],[Sort]],Games[Sort],1)</f>
        <v>74</v>
      </c>
      <c r="W24" t="str">
        <f>IF(COUNT(Games[QuadRank])&gt;0,_xlfn.RANK.EQ(Games[[#This Row],[QuadSort]],Games[QuadSort],1),"")</f>
        <v/>
      </c>
      <c r="X24" s="5"/>
      <c r="Y24" s="5"/>
      <c r="AA24" s="3" t="s">
        <v>69</v>
      </c>
      <c r="AB24" s="15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3">
        <f>Types[[#This Row],[Tickets]]*Types[[#This Row],[Price]]</f>
        <v>7920</v>
      </c>
    </row>
    <row r="25" spans="2:32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12"/>
      <c r="S25" s="16"/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2.4111596548496046E-7</v>
      </c>
      <c r="U25" cm="1">
        <f t="array" aca="1" ref="U2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2.4111596548496046E-7</v>
      </c>
      <c r="V25">
        <f ca="1">_xlfn.RANK.EQ(Games[[#This Row],[Sort]],Games[Sort],1)</f>
        <v>1</v>
      </c>
      <c r="W25" t="str">
        <f>IF(COUNT(Games[QuadRank])&gt;0,_xlfn.RANK.EQ(Games[[#This Row],[QuadSort]],Games[QuadSort],1),"")</f>
        <v/>
      </c>
      <c r="X25" s="5" t="s">
        <v>49</v>
      </c>
      <c r="Y25" s="5"/>
      <c r="AA25" s="3" t="s">
        <v>70</v>
      </c>
      <c r="AB25" s="15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3">
        <f>Types[[#This Row],[Tickets]]*Types[[#This Row],[Price]]</f>
        <v>8004</v>
      </c>
    </row>
    <row r="26" spans="2:32" x14ac:dyDescent="0.2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/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1.6571172232395167E-6</v>
      </c>
      <c r="U26" cm="1">
        <f t="array" aca="1" ref="U2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1.6571172232395167E-6</v>
      </c>
      <c r="V26">
        <f ca="1">_xlfn.RANK.EQ(Games[[#This Row],[Sort]],Games[Sort],1)</f>
        <v>51</v>
      </c>
      <c r="W26" t="str">
        <f>IF(COUNT(Games[QuadRank])&gt;0,_xlfn.RANK.EQ(Games[[#This Row],[QuadSort]],Games[QuadSort],1),"")</f>
        <v/>
      </c>
      <c r="X26" s="5" t="s">
        <v>50</v>
      </c>
      <c r="Y26" s="5"/>
      <c r="AA26" s="3" t="s">
        <v>72</v>
      </c>
      <c r="AB26" s="15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3">
        <f>Types[[#This Row],[Tickets]]*Types[[#This Row],[Price]]</f>
        <v>4332</v>
      </c>
    </row>
    <row r="27" spans="2:32" x14ac:dyDescent="0.2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/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2.4048319609504041E-6</v>
      </c>
      <c r="U27" cm="1">
        <f t="array" aca="1" ref="U2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2.4048319609504041E-6</v>
      </c>
      <c r="V27">
        <f ca="1">_xlfn.RANK.EQ(Games[[#This Row],[Sort]],Games[Sort],1)</f>
        <v>73</v>
      </c>
      <c r="W27" t="str">
        <f>IF(COUNT(Games[QuadRank])&gt;0,_xlfn.RANK.EQ(Games[[#This Row],[QuadSort]],Games[QuadSort],1),"")</f>
        <v/>
      </c>
      <c r="X27" s="5"/>
      <c r="Y27" s="5"/>
      <c r="AA27" s="3" t="s">
        <v>71</v>
      </c>
      <c r="AB27" s="15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3">
        <f>Types[[#This Row],[Tickets]]*Types[[#This Row],[Price]]</f>
        <v>1980</v>
      </c>
    </row>
    <row r="28" spans="2:32" x14ac:dyDescent="0.2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/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2.2630660163162096E-6</v>
      </c>
      <c r="U28" cm="1">
        <f t="array" aca="1" ref="U2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2.2630660163162096E-6</v>
      </c>
      <c r="V28">
        <f ca="1">_xlfn.RANK.EQ(Games[[#This Row],[Sort]],Games[Sort],1)</f>
        <v>69</v>
      </c>
      <c r="W28" t="str">
        <f>IF(COUNT(Games[QuadRank])&gt;0,_xlfn.RANK.EQ(Games[[#This Row],[QuadSort]],Games[QuadSort],1),"")</f>
        <v/>
      </c>
      <c r="X28" s="5" t="s">
        <v>51</v>
      </c>
      <c r="Y28" s="5"/>
      <c r="AA28" s="3" t="s">
        <v>81</v>
      </c>
      <c r="AD28">
        <f>SUBTOTAL(109,Types[Games])</f>
        <v>81</v>
      </c>
      <c r="AE28">
        <f>SUBTOTAL(109,Types[Tickets])</f>
        <v>324</v>
      </c>
      <c r="AF28" s="23">
        <f>SUBTOTAL(109,Types[Cost])</f>
        <v>22236</v>
      </c>
    </row>
    <row r="29" spans="2:32" x14ac:dyDescent="0.2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12"/>
      <c r="S29" s="16"/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8.6559623428811764E-7</v>
      </c>
      <c r="U29" cm="1">
        <f t="array" aca="1" ref="U2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8.6559623428811764E-7</v>
      </c>
      <c r="V29">
        <f ca="1">_xlfn.RANK.EQ(Games[[#This Row],[Sort]],Games[Sort],1)</f>
        <v>25</v>
      </c>
      <c r="W29" t="str">
        <f>IF(COUNT(Games[QuadRank])&gt;0,_xlfn.RANK.EQ(Games[[#This Row],[QuadSort]],Games[QuadSort],1),"")</f>
        <v/>
      </c>
      <c r="X29" s="5" t="s">
        <v>51</v>
      </c>
      <c r="Y29" s="5"/>
    </row>
    <row r="30" spans="2:32" x14ac:dyDescent="0.2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12"/>
      <c r="S30" s="16"/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8.3455957969880264E-7</v>
      </c>
      <c r="U30" cm="1">
        <f t="array" aca="1" ref="U3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8.3455957969880264E-7</v>
      </c>
      <c r="V30">
        <f ca="1">_xlfn.RANK.EQ(Games[[#This Row],[Sort]],Games[Sort],1)</f>
        <v>23</v>
      </c>
      <c r="W30" t="str">
        <f>IF(COUNT(Games[QuadRank])&gt;0,_xlfn.RANK.EQ(Games[[#This Row],[QuadSort]],Games[QuadSort],1),"")</f>
        <v/>
      </c>
      <c r="X30" s="5"/>
      <c r="Y30" s="5"/>
    </row>
    <row r="31" spans="2:32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12"/>
      <c r="S31" s="16"/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9.8543280021172679E-7</v>
      </c>
      <c r="U31" cm="1">
        <f t="array" aca="1" ref="U3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9.8543280021172679E-7</v>
      </c>
      <c r="V31">
        <f ca="1">_xlfn.RANK.EQ(Games[[#This Row],[Sort]],Games[Sort],1)</f>
        <v>32</v>
      </c>
      <c r="W31" t="str">
        <f>IF(COUNT(Games[QuadRank])&gt;0,_xlfn.RANK.EQ(Games[[#This Row],[QuadSort]],Games[QuadSort],1),"")</f>
        <v/>
      </c>
      <c r="X31" s="5" t="s">
        <v>52</v>
      </c>
      <c r="Y31" s="5"/>
    </row>
    <row r="32" spans="2:32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/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2.3276890455808949E-6</v>
      </c>
      <c r="U32" cm="1">
        <f t="array" aca="1" ref="U3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2.3276890455808949E-6</v>
      </c>
      <c r="V32">
        <f ca="1">_xlfn.RANK.EQ(Games[[#This Row],[Sort]],Games[Sort],1)</f>
        <v>70</v>
      </c>
      <c r="W32" t="str">
        <f>IF(COUNT(Games[QuadRank])&gt;0,_xlfn.RANK.EQ(Games[[#This Row],[QuadSort]],Games[QuadSort],1),"")</f>
        <v/>
      </c>
      <c r="X32" s="5" t="s">
        <v>53</v>
      </c>
      <c r="Y32" s="5"/>
    </row>
    <row r="33" spans="2:25" x14ac:dyDescent="0.2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/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2.6356554838943563E-6</v>
      </c>
      <c r="U33" cm="1">
        <f t="array" aca="1" ref="U3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2.6356554838943563E-6</v>
      </c>
      <c r="V33">
        <f ca="1">_xlfn.RANK.EQ(Games[[#This Row],[Sort]],Games[Sort],1)</f>
        <v>78</v>
      </c>
      <c r="W33" t="str">
        <f>IF(COUNT(Games[QuadRank])&gt;0,_xlfn.RANK.EQ(Games[[#This Row],[QuadSort]],Games[QuadSort],1),"")</f>
        <v/>
      </c>
      <c r="X33" s="5" t="s">
        <v>54</v>
      </c>
      <c r="Y33" s="5"/>
    </row>
    <row r="34" spans="2:25" x14ac:dyDescent="0.2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/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2.6114786018247472E-6</v>
      </c>
      <c r="U34" cm="1">
        <f t="array" aca="1" ref="U3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2.6114786018247472E-6</v>
      </c>
      <c r="V34">
        <f ca="1">_xlfn.RANK.EQ(Games[[#This Row],[Sort]],Games[Sort],1)</f>
        <v>76</v>
      </c>
      <c r="W34" t="str">
        <f>IF(COUNT(Games[QuadRank])&gt;0,_xlfn.RANK.EQ(Games[[#This Row],[QuadSort]],Games[QuadSort],1),"")</f>
        <v/>
      </c>
      <c r="X34" s="5"/>
      <c r="Y34" s="5"/>
    </row>
    <row r="35" spans="2:25" x14ac:dyDescent="0.2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/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1.2140088197966553E-6</v>
      </c>
      <c r="U35" cm="1">
        <f t="array" aca="1" ref="U3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1.2140088197966553E-6</v>
      </c>
      <c r="V35">
        <f ca="1">_xlfn.RANK.EQ(Games[[#This Row],[Sort]],Games[Sort],1)</f>
        <v>36</v>
      </c>
      <c r="W35" t="str">
        <f>IF(COUNT(Games[QuadRank])&gt;0,_xlfn.RANK.EQ(Games[[#This Row],[QuadSort]],Games[QuadSort],1),"")</f>
        <v/>
      </c>
      <c r="X35" s="5"/>
      <c r="Y35" s="5"/>
    </row>
    <row r="36" spans="2:25" x14ac:dyDescent="0.2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/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1.5219752581101166E-6</v>
      </c>
      <c r="U36" cm="1">
        <f t="array" aca="1" ref="U3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1.5219752581101166E-6</v>
      </c>
      <c r="V36">
        <f ca="1">_xlfn.RANK.EQ(Games[[#This Row],[Sort]],Games[Sort],1)</f>
        <v>46</v>
      </c>
      <c r="W36" t="str">
        <f>IF(COUNT(Games[QuadRank])&gt;0,_xlfn.RANK.EQ(Games[[#This Row],[QuadSort]],Games[QuadSort],1),"")</f>
        <v/>
      </c>
      <c r="X36" s="5"/>
      <c r="Y36" s="5"/>
    </row>
    <row r="37" spans="2:25" x14ac:dyDescent="0.2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/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1.5624214053051929E-6</v>
      </c>
      <c r="U37" cm="1">
        <f t="array" aca="1" ref="U3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1.5624214053051929E-6</v>
      </c>
      <c r="V37">
        <f ca="1">_xlfn.RANK.EQ(Games[[#This Row],[Sort]],Games[Sort],1)</f>
        <v>49</v>
      </c>
      <c r="W37" t="str">
        <f>IF(COUNT(Games[QuadRank])&gt;0,_xlfn.RANK.EQ(Games[[#This Row],[QuadSort]],Games[QuadSort],1),"")</f>
        <v/>
      </c>
      <c r="X37" s="5"/>
      <c r="Y37" s="5"/>
    </row>
    <row r="38" spans="2:25" x14ac:dyDescent="0.2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12"/>
      <c r="S38" s="16"/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8.9985896539810587E-7</v>
      </c>
      <c r="U38" cm="1">
        <f t="array" aca="1" ref="U3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8.9985896539810587E-7</v>
      </c>
      <c r="V38">
        <f ca="1">_xlfn.RANK.EQ(Games[[#This Row],[Sort]],Games[Sort],1)</f>
        <v>28</v>
      </c>
      <c r="W38" t="str">
        <f>IF(COUNT(Games[QuadRank])&gt;0,_xlfn.RANK.EQ(Games[[#This Row],[QuadSort]],Games[QuadSort],1),"")</f>
        <v/>
      </c>
      <c r="X38" s="5"/>
      <c r="Y38" s="5"/>
    </row>
    <row r="39" spans="2:25" x14ac:dyDescent="0.2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12"/>
      <c r="S39" s="16"/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8.6882231080879087E-7</v>
      </c>
      <c r="U39" cm="1">
        <f t="array" aca="1" ref="U3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8.6882231080879087E-7</v>
      </c>
      <c r="V39">
        <f ca="1">_xlfn.RANK.EQ(Games[[#This Row],[Sort]],Games[Sort],1)</f>
        <v>26</v>
      </c>
      <c r="W39" t="str">
        <f>IF(COUNT(Games[QuadRank])&gt;0,_xlfn.RANK.EQ(Games[[#This Row],[QuadSort]],Games[QuadSort],1),"")</f>
        <v/>
      </c>
      <c r="X39" s="5" t="s">
        <v>55</v>
      </c>
      <c r="Y39" s="5"/>
    </row>
    <row r="40" spans="2:25" x14ac:dyDescent="0.2">
      <c r="B40" s="13" t="b">
        <v>0</v>
      </c>
      <c r="C40" t="s">
        <v>30</v>
      </c>
      <c r="D40" s="14"/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12"/>
      <c r="S40" s="16"/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5.0564233583640567E-7</v>
      </c>
      <c r="U40" cm="1">
        <f t="array" aca="1" ref="U4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5.0564233583640567E-7</v>
      </c>
      <c r="V40">
        <f ca="1">_xlfn.RANK.EQ(Games[[#This Row],[Sort]],Games[Sort],1)</f>
        <v>15</v>
      </c>
      <c r="W40" t="str">
        <f>IF(COUNT(Games[QuadRank])&gt;0,_xlfn.RANK.EQ(Games[[#This Row],[QuadSort]],Games[QuadSort],1),"")</f>
        <v/>
      </c>
      <c r="X40" s="5" t="s">
        <v>52</v>
      </c>
      <c r="Y40" s="5"/>
    </row>
    <row r="41" spans="2:25" x14ac:dyDescent="0.2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/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1.8478985812055738E-6</v>
      </c>
      <c r="U41" cm="1">
        <f t="array" aca="1" ref="U4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1.8478985812055738E-6</v>
      </c>
      <c r="V41">
        <f ca="1">_xlfn.RANK.EQ(Games[[#This Row],[Sort]],Games[Sort],1)</f>
        <v>57</v>
      </c>
      <c r="W41" t="str">
        <f>IF(COUNT(Games[QuadRank])&gt;0,_xlfn.RANK.EQ(Games[[#This Row],[QuadSort]],Games[QuadSort],1),"")</f>
        <v/>
      </c>
      <c r="X41" s="5"/>
      <c r="Y41" s="5"/>
    </row>
    <row r="42" spans="2:25" x14ac:dyDescent="0.2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/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2.1558650195190349E-6</v>
      </c>
      <c r="U42" cm="1">
        <f t="array" aca="1" ref="U4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2.1558650195190349E-6</v>
      </c>
      <c r="V42">
        <f ca="1">_xlfn.RANK.EQ(Games[[#This Row],[Sort]],Games[Sort],1)</f>
        <v>63</v>
      </c>
      <c r="W42" t="str">
        <f>IF(COUNT(Games[QuadRank])&gt;0,_xlfn.RANK.EQ(Games[[#This Row],[QuadSort]],Games[QuadSort],1),"")</f>
        <v/>
      </c>
      <c r="X42" s="5"/>
      <c r="Y42" s="5"/>
    </row>
    <row r="43" spans="2:25" x14ac:dyDescent="0.2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/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8.9789313098339188E-7</v>
      </c>
      <c r="U43" cm="1">
        <f t="array" aca="1" ref="U4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8.9789313098339188E-7</v>
      </c>
      <c r="V43">
        <f ca="1">_xlfn.RANK.EQ(Games[[#This Row],[Sort]],Games[Sort],1)</f>
        <v>27</v>
      </c>
      <c r="W43" t="str">
        <f>IF(COUNT(Games[QuadRank])&gt;0,_xlfn.RANK.EQ(Games[[#This Row],[QuadSort]],Games[QuadSort],1),"")</f>
        <v/>
      </c>
      <c r="X43" s="5" t="s">
        <v>56</v>
      </c>
      <c r="Y43" s="5"/>
    </row>
    <row r="44" spans="2:25" x14ac:dyDescent="0.2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12"/>
      <c r="S44" s="16"/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2.24014937635256E-6</v>
      </c>
      <c r="U44" cm="1">
        <f t="array" aca="1" ref="U4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2.24014937635256E-6</v>
      </c>
      <c r="V44">
        <f ca="1">_xlfn.RANK.EQ(Games[[#This Row],[Sort]],Games[Sort],1)</f>
        <v>68</v>
      </c>
      <c r="W44" t="str">
        <f>IF(COUNT(Games[QuadRank])&gt;0,_xlfn.RANK.EQ(Games[[#This Row],[QuadSort]],Games[QuadSort],1),"")</f>
        <v/>
      </c>
      <c r="X44" s="5" t="s">
        <v>56</v>
      </c>
      <c r="Y44" s="5"/>
    </row>
    <row r="45" spans="2:25" x14ac:dyDescent="0.2">
      <c r="B45" s="13" t="b">
        <v>0</v>
      </c>
      <c r="C45" t="s">
        <v>28</v>
      </c>
      <c r="D45" s="14"/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/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2.1849358396936363E-6</v>
      </c>
      <c r="U45" cm="1">
        <f t="array" aca="1" ref="U4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2.1849358396936363E-6</v>
      </c>
      <c r="V45">
        <f ca="1">_xlfn.RANK.EQ(Games[[#This Row],[Sort]],Games[Sort],1)</f>
        <v>65</v>
      </c>
      <c r="W45" t="str">
        <f>IF(COUNT(Games[QuadRank])&gt;0,_xlfn.RANK.EQ(Games[[#This Row],[QuadSort]],Games[QuadSort],1),"")</f>
        <v/>
      </c>
      <c r="X45" s="5" t="s">
        <v>56</v>
      </c>
      <c r="Y45" s="5"/>
    </row>
    <row r="46" spans="2:25" x14ac:dyDescent="0.2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/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4.4846296476276771E-7</v>
      </c>
      <c r="U46" cm="1">
        <f t="array" aca="1" ref="U4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4.4846296476276771E-7</v>
      </c>
      <c r="V46">
        <f ca="1">_xlfn.RANK.EQ(Games[[#This Row],[Sort]],Games[Sort],1)</f>
        <v>14</v>
      </c>
      <c r="W46" t="str">
        <f>IF(COUNT(Games[QuadRank])&gt;0,_xlfn.RANK.EQ(Games[[#This Row],[QuadSort]],Games[QuadSort],1),"")</f>
        <v/>
      </c>
      <c r="X46" s="5" t="s">
        <v>52</v>
      </c>
      <c r="Y46" s="5"/>
    </row>
    <row r="47" spans="2:25" x14ac:dyDescent="0.2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/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7.5642940307622906E-7</v>
      </c>
      <c r="U47" cm="1">
        <f t="array" aca="1" ref="U4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7.5642940307622906E-7</v>
      </c>
      <c r="V47">
        <f ca="1">_xlfn.RANK.EQ(Games[[#This Row],[Sort]],Games[Sort],1)</f>
        <v>20</v>
      </c>
      <c r="W47" t="str">
        <f>IF(COUNT(Games[QuadRank])&gt;0,_xlfn.RANK.EQ(Games[[#This Row],[QuadSort]],Games[QuadSort],1),"")</f>
        <v/>
      </c>
      <c r="X47" s="5" t="s">
        <v>57</v>
      </c>
      <c r="Y47" s="5"/>
    </row>
    <row r="48" spans="2:25" x14ac:dyDescent="0.2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/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2.9551828509732468E-7</v>
      </c>
      <c r="U48" cm="1">
        <f t="array" aca="1" ref="U4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2.9551828509732468E-7</v>
      </c>
      <c r="V48">
        <f ca="1">_xlfn.RANK.EQ(Games[[#This Row],[Sort]],Games[Sort],1)</f>
        <v>5</v>
      </c>
      <c r="W48" t="str">
        <f>IF(COUNT(Games[QuadRank])&gt;0,_xlfn.RANK.EQ(Games[[#This Row],[QuadSort]],Games[QuadSort],1),"")</f>
        <v/>
      </c>
      <c r="X48" s="5"/>
      <c r="Y48" s="5"/>
    </row>
    <row r="49" spans="2:25" x14ac:dyDescent="0.2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/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1.5317828923923104E-6</v>
      </c>
      <c r="U49" cm="1">
        <f t="array" aca="1" ref="U4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1.5317828923923104E-6</v>
      </c>
      <c r="V49">
        <f ca="1">_xlfn.RANK.EQ(Games[[#This Row],[Sort]],Games[Sort],1)</f>
        <v>47</v>
      </c>
      <c r="W49" t="str">
        <f>IF(COUNT(Games[QuadRank])&gt;0,_xlfn.RANK.EQ(Games[[#This Row],[QuadSort]],Games[QuadSort],1),"")</f>
        <v/>
      </c>
      <c r="X49" s="5" t="s">
        <v>52</v>
      </c>
      <c r="Y49" s="5"/>
    </row>
    <row r="50" spans="2:25" x14ac:dyDescent="0.2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/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9.6768702520695441E-7</v>
      </c>
      <c r="U50" cm="1">
        <f t="array" aca="1" ref="U5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9.6768702520695441E-7</v>
      </c>
      <c r="V50">
        <f ca="1">_xlfn.RANK.EQ(Games[[#This Row],[Sort]],Games[Sort],1)</f>
        <v>31</v>
      </c>
      <c r="W50" t="str">
        <f>IF(COUNT(Games[QuadRank])&gt;0,_xlfn.RANK.EQ(Games[[#This Row],[QuadSort]],Games[QuadSort],1),"")</f>
        <v/>
      </c>
      <c r="X50" s="5"/>
      <c r="Y50" s="5"/>
    </row>
    <row r="51" spans="2:25" x14ac:dyDescent="0.2">
      <c r="B51" s="13" t="b">
        <v>0</v>
      </c>
      <c r="C51" t="s">
        <v>30</v>
      </c>
      <c r="D51" s="14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/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4.4227954867767963E-7</v>
      </c>
      <c r="U51" cm="1">
        <f t="array" aca="1" ref="U5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4.4227954867767963E-7</v>
      </c>
      <c r="V51">
        <f ca="1">_xlfn.RANK.EQ(Games[[#This Row],[Sort]],Games[Sort],1)</f>
        <v>13</v>
      </c>
      <c r="W51" t="str">
        <f>IF(COUNT(Games[QuadRank])&gt;0,_xlfn.RANK.EQ(Games[[#This Row],[QuadSort]],Games[QuadSort],1),"")</f>
        <v/>
      </c>
      <c r="X51" s="5" t="s">
        <v>58</v>
      </c>
      <c r="Y51" s="5"/>
    </row>
    <row r="52" spans="2:25" x14ac:dyDescent="0.2">
      <c r="B52" s="13" t="b">
        <v>0</v>
      </c>
      <c r="C52" t="s">
        <v>30</v>
      </c>
      <c r="D52" s="14"/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/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4.1810266660807066E-7</v>
      </c>
      <c r="U52" cm="1">
        <f t="array" aca="1" ref="U5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4.1810266660807066E-7</v>
      </c>
      <c r="V52">
        <f ca="1">_xlfn.RANK.EQ(Games[[#This Row],[Sort]],Games[Sort],1)</f>
        <v>12</v>
      </c>
      <c r="W52" t="str">
        <f>IF(COUNT(Games[QuadRank])&gt;0,_xlfn.RANK.EQ(Games[[#This Row],[QuadSort]],Games[QuadSort],1),"")</f>
        <v/>
      </c>
      <c r="X52" s="5"/>
      <c r="Y52" s="5"/>
    </row>
    <row r="53" spans="2:25" x14ac:dyDescent="0.2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/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1.7603589119772389E-6</v>
      </c>
      <c r="U53" cm="1">
        <f t="array" aca="1" ref="U5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1.7603589119772389E-6</v>
      </c>
      <c r="V53">
        <f ca="1">_xlfn.RANK.EQ(Games[[#This Row],[Sort]],Games[Sort],1)</f>
        <v>56</v>
      </c>
      <c r="W53" t="str">
        <f>IF(COUNT(Games[QuadRank])&gt;0,_xlfn.RANK.EQ(Games[[#This Row],[QuadSort]],Games[QuadSort],1),"")</f>
        <v/>
      </c>
      <c r="X53" s="5"/>
      <c r="Y53" s="5"/>
    </row>
    <row r="54" spans="2:25" x14ac:dyDescent="0.2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12"/>
      <c r="S54" s="16"/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2.0683253502907E-6</v>
      </c>
      <c r="U54" cm="1">
        <f t="array" aca="1" ref="U5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2.0683253502907E-6</v>
      </c>
      <c r="V54">
        <f ca="1">_xlfn.RANK.EQ(Games[[#This Row],[Sort]],Games[Sort],1)</f>
        <v>60</v>
      </c>
      <c r="W54" t="str">
        <f>IF(COUNT(Games[QuadRank])&gt;0,_xlfn.RANK.EQ(Games[[#This Row],[QuadSort]],Games[QuadSort],1),"")</f>
        <v/>
      </c>
      <c r="X54" s="5"/>
      <c r="Y54" s="5"/>
    </row>
    <row r="55" spans="2:25" x14ac:dyDescent="0.2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/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1.8801954779008479E-6</v>
      </c>
      <c r="U55" cm="1">
        <f t="array" aca="1" ref="U5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1.8801954779008479E-6</v>
      </c>
      <c r="V55">
        <f ca="1">_xlfn.RANK.EQ(Games[[#This Row],[Sort]],Games[Sort],1)</f>
        <v>58</v>
      </c>
      <c r="W55" t="str">
        <f>IF(COUNT(Games[QuadRank])&gt;0,_xlfn.RANK.EQ(Games[[#This Row],[QuadSort]],Games[QuadSort],1),"")</f>
        <v/>
      </c>
      <c r="X55" s="5" t="s">
        <v>59</v>
      </c>
      <c r="Y55" s="5"/>
    </row>
    <row r="56" spans="2:25" x14ac:dyDescent="0.2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/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2.1881619162143095E-6</v>
      </c>
      <c r="U56" cm="1">
        <f t="array" aca="1" ref="U5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2.1881619162143095E-6</v>
      </c>
      <c r="V56">
        <f ca="1">_xlfn.RANK.EQ(Games[[#This Row],[Sort]],Games[Sort],1)</f>
        <v>67</v>
      </c>
      <c r="W56" t="str">
        <f>IF(COUNT(Games[QuadRank])&gt;0,_xlfn.RANK.EQ(Games[[#This Row],[QuadSort]],Games[QuadSort],1),"")</f>
        <v/>
      </c>
      <c r="X56" s="5" t="s">
        <v>60</v>
      </c>
      <c r="Y56" s="5"/>
    </row>
    <row r="57" spans="2:25" x14ac:dyDescent="0.2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/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7.9069213418621718E-7</v>
      </c>
      <c r="U57" cm="1">
        <f t="array" aca="1" ref="U5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7.9069213418621718E-7</v>
      </c>
      <c r="V57">
        <f ca="1">_xlfn.RANK.EQ(Games[[#This Row],[Sort]],Games[Sort],1)</f>
        <v>21</v>
      </c>
      <c r="W57" t="str">
        <f>IF(COUNT(Games[QuadRank])&gt;0,_xlfn.RANK.EQ(Games[[#This Row],[QuadSort]],Games[QuadSort],1),"")</f>
        <v/>
      </c>
      <c r="X57" s="5"/>
      <c r="Y57" s="5"/>
    </row>
    <row r="58" spans="2:25" x14ac:dyDescent="0.2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/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2.1087714974857767E-6</v>
      </c>
      <c r="U58" cm="1">
        <f t="array" aca="1" ref="U5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2.1087714974857767E-6</v>
      </c>
      <c r="V58">
        <f ca="1">_xlfn.RANK.EQ(Games[[#This Row],[Sort]],Games[Sort],1)</f>
        <v>61</v>
      </c>
      <c r="W58" t="str">
        <f>IF(COUNT(Games[QuadRank])&gt;0,_xlfn.RANK.EQ(Games[[#This Row],[QuadSort]],Games[QuadSort],1),"")</f>
        <v/>
      </c>
      <c r="X58" s="5"/>
      <c r="Y58" s="5"/>
    </row>
    <row r="59" spans="2:25" x14ac:dyDescent="0.2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/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7.1130171545768435E-7</v>
      </c>
      <c r="U59" cm="1">
        <f t="array" aca="1" ref="U5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7.1130171545768435E-7</v>
      </c>
      <c r="V59">
        <f ca="1">_xlfn.RANK.EQ(Games[[#This Row],[Sort]],Games[Sort],1)</f>
        <v>17</v>
      </c>
      <c r="W59" t="str">
        <f>IF(COUNT(Games[QuadRank])&gt;0,_xlfn.RANK.EQ(Games[[#This Row],[QuadSort]],Games[QuadSort],1),"")</f>
        <v/>
      </c>
      <c r="X59" s="5"/>
      <c r="Y59" s="5"/>
    </row>
    <row r="60" spans="2:25" x14ac:dyDescent="0.2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/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1.4151724029893744E-6</v>
      </c>
      <c r="U60" cm="1">
        <f t="array" aca="1" ref="U6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1.4151724029893744E-6</v>
      </c>
      <c r="V60">
        <f ca="1">_xlfn.RANK.EQ(Games[[#This Row],[Sort]],Games[Sort],1)</f>
        <v>44</v>
      </c>
      <c r="W60" t="str">
        <f>IF(COUNT(Games[QuadRank])&gt;0,_xlfn.RANK.EQ(Games[[#This Row],[QuadSort]],Games[QuadSort],1),"")</f>
        <v/>
      </c>
      <c r="X60" s="5"/>
      <c r="Y60" s="5"/>
    </row>
    <row r="61" spans="2:25" x14ac:dyDescent="0.2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/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1.0519924280169893E-6</v>
      </c>
      <c r="U61" cm="1">
        <f t="array" aca="1" ref="U6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1.0519924280169893E-6</v>
      </c>
      <c r="V61">
        <f ca="1">_xlfn.RANK.EQ(Games[[#This Row],[Sort]],Games[Sort],1)</f>
        <v>33</v>
      </c>
      <c r="W61" t="str">
        <f>IF(COUNT(Games[QuadRank])&gt;0,_xlfn.RANK.EQ(Games[[#This Row],[QuadSort]],Games[QuadSort],1),"")</f>
        <v/>
      </c>
      <c r="X61" s="5"/>
      <c r="Y61" s="5"/>
    </row>
    <row r="62" spans="2:25" x14ac:dyDescent="0.2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/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1.7266507088270498E-6</v>
      </c>
      <c r="U62" cm="1">
        <f t="array" aca="1" ref="U6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1.7266507088270498E-6</v>
      </c>
      <c r="V62">
        <f ca="1">_xlfn.RANK.EQ(Games[[#This Row],[Sort]],Games[Sort],1)</f>
        <v>54</v>
      </c>
      <c r="W62" t="str">
        <f>IF(COUNT(Games[QuadRank])&gt;0,_xlfn.RANK.EQ(Games[[#This Row],[QuadSort]],Games[QuadSort],1),"")</f>
        <v/>
      </c>
      <c r="X62" s="5" t="s">
        <v>27</v>
      </c>
      <c r="Y62" s="5"/>
    </row>
    <row r="63" spans="2:25" x14ac:dyDescent="0.2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/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2.7022151116996187E-6</v>
      </c>
      <c r="U63" cm="1">
        <f t="array" aca="1" ref="U6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2.7022151116996187E-6</v>
      </c>
      <c r="V63">
        <f ca="1">_xlfn.RANK.EQ(Games[[#This Row],[Sort]],Games[Sort],1)</f>
        <v>80</v>
      </c>
      <c r="W63" t="str">
        <f>IF(COUNT(Games[QuadRank])&gt;0,_xlfn.RANK.EQ(Games[[#This Row],[QuadSort]],Games[QuadSort],1),"")</f>
        <v/>
      </c>
      <c r="X63" s="5" t="s">
        <v>61</v>
      </c>
      <c r="Y63" s="5"/>
    </row>
    <row r="64" spans="2:25" x14ac:dyDescent="0.2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12"/>
      <c r="S64" s="16"/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1.4004050135255268E-6</v>
      </c>
      <c r="U64" cm="1">
        <f t="array" aca="1" ref="U6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1.4004050135255268E-6</v>
      </c>
      <c r="V64">
        <f ca="1">_xlfn.RANK.EQ(Games[[#This Row],[Sort]],Games[Sort],1)</f>
        <v>43</v>
      </c>
      <c r="W64" t="str">
        <f>IF(COUNT(Games[QuadRank])&gt;0,_xlfn.RANK.EQ(Games[[#This Row],[QuadSort]],Games[QuadSort],1),"")</f>
        <v/>
      </c>
      <c r="X64" s="5" t="s">
        <v>52</v>
      </c>
      <c r="Y64" s="5"/>
    </row>
    <row r="65" spans="10:25" x14ac:dyDescent="0.2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12"/>
      <c r="S65" s="16"/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3.4193832440021101E-7</v>
      </c>
      <c r="U65" cm="1">
        <f t="array" aca="1" ref="U6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3.4193832440021101E-7</v>
      </c>
      <c r="V65">
        <f ca="1">_xlfn.RANK.EQ(Games[[#This Row],[Sort]],Games[Sort],1)</f>
        <v>8</v>
      </c>
      <c r="W65" t="str">
        <f>IF(COUNT(Games[QuadRank])&gt;0,_xlfn.RANK.EQ(Games[[#This Row],[QuadSort]],Games[QuadSort],1),"")</f>
        <v/>
      </c>
      <c r="X65" s="5"/>
      <c r="Y65" s="5"/>
    </row>
    <row r="66" spans="10:25" x14ac:dyDescent="0.2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12"/>
      <c r="S66" s="16"/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3.1090166981089606E-7</v>
      </c>
      <c r="U66" cm="1">
        <f t="array" aca="1" ref="U6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3.1090166981089606E-7</v>
      </c>
      <c r="V66">
        <f ca="1">_xlfn.RANK.EQ(Games[[#This Row],[Sort]],Games[Sort],1)</f>
        <v>6</v>
      </c>
      <c r="W66" t="str">
        <f>IF(COUNT(Games[QuadRank])&gt;0,_xlfn.RANK.EQ(Games[[#This Row],[QuadSort]],Games[QuadSort],1),"")</f>
        <v/>
      </c>
      <c r="X66" s="5" t="s">
        <v>62</v>
      </c>
      <c r="Y66" s="5"/>
    </row>
    <row r="67" spans="10:25" x14ac:dyDescent="0.2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12"/>
      <c r="S67" s="16"/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2.8672478774128709E-7</v>
      </c>
      <c r="U67" cm="1">
        <f t="array" aca="1" ref="U6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2.8672478774128709E-7</v>
      </c>
      <c r="V67">
        <f ca="1">_xlfn.RANK.EQ(Games[[#This Row],[Sort]],Games[Sort],1)</f>
        <v>4</v>
      </c>
      <c r="W67" t="str">
        <f>IF(COUNT(Games[QuadRank])&gt;0,_xlfn.RANK.EQ(Games[[#This Row],[QuadSort]],Games[QuadSort],1),"")</f>
        <v/>
      </c>
      <c r="X67" s="5" t="s">
        <v>63</v>
      </c>
      <c r="Y67" s="5"/>
    </row>
    <row r="68" spans="10:25" x14ac:dyDescent="0.2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12"/>
      <c r="S68" s="16"/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1.6289810331104553E-6</v>
      </c>
      <c r="U68" cm="1">
        <f t="array" aca="1" ref="U6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1.6289810331104553E-6</v>
      </c>
      <c r="V68">
        <f ca="1">_xlfn.RANK.EQ(Games[[#This Row],[Sort]],Games[Sort],1)</f>
        <v>50</v>
      </c>
      <c r="W68" t="str">
        <f>IF(COUNT(Games[QuadRank])&gt;0,_xlfn.RANK.EQ(Games[[#This Row],[QuadSort]],Games[QuadSort],1),"")</f>
        <v/>
      </c>
      <c r="X68" s="5"/>
      <c r="Y68" s="5"/>
    </row>
    <row r="69" spans="10:25" x14ac:dyDescent="0.2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12"/>
      <c r="S69" s="16"/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2.3328517206421453E-6</v>
      </c>
      <c r="U69" cm="1">
        <f t="array" aca="1" ref="U6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2.3328517206421453E-6</v>
      </c>
      <c r="V69">
        <f ca="1">_xlfn.RANK.EQ(Games[[#This Row],[Sort]],Games[Sort],1)</f>
        <v>71</v>
      </c>
      <c r="W69" t="str">
        <f>IF(COUNT(Games[QuadRank])&gt;0,_xlfn.RANK.EQ(Games[[#This Row],[QuadSort]],Games[QuadSort],1),"")</f>
        <v/>
      </c>
      <c r="X69" s="5"/>
      <c r="Y69" s="5"/>
    </row>
    <row r="70" spans="10:25" x14ac:dyDescent="0.2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/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7.4556444656767258E-7</v>
      </c>
      <c r="U70" cm="1">
        <f t="array" aca="1" ref="U7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7.4556444656767258E-7</v>
      </c>
      <c r="V70">
        <f ca="1">_xlfn.RANK.EQ(Games[[#This Row],[Sort]],Games[Sort],1)</f>
        <v>19</v>
      </c>
      <c r="W70" t="str">
        <f>IF(COUNT(Games[QuadRank])&gt;0,_xlfn.RANK.EQ(Games[[#This Row],[QuadSort]],Games[QuadSort],1),"")</f>
        <v/>
      </c>
      <c r="X70" s="5"/>
      <c r="Y70" s="5"/>
    </row>
    <row r="71" spans="10:25" x14ac:dyDescent="0.2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/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1.7488175990340644E-6</v>
      </c>
      <c r="U71" cm="1">
        <f t="array" aca="1" ref="U7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1.7488175990340644E-6</v>
      </c>
      <c r="V71">
        <f ca="1">_xlfn.RANK.EQ(Games[[#This Row],[Sort]],Games[Sort],1)</f>
        <v>55</v>
      </c>
      <c r="W71" t="str">
        <f>IF(COUNT(Games[QuadRank])&gt;0,_xlfn.RANK.EQ(Games[[#This Row],[QuadSort]],Games[QuadSort],1),"")</f>
        <v/>
      </c>
      <c r="X71" s="5" t="s">
        <v>64</v>
      </c>
      <c r="Y71" s="5"/>
    </row>
    <row r="72" spans="10:25" x14ac:dyDescent="0.2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/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1.4252582520297536E-6</v>
      </c>
      <c r="U72" cm="1">
        <f t="array" aca="1" ref="U7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1.4252582520297536E-6</v>
      </c>
      <c r="V72">
        <f ca="1">_xlfn.RANK.EQ(Games[[#This Row],[Sort]],Games[Sort],1)</f>
        <v>45</v>
      </c>
      <c r="W72" t="str">
        <f>IF(COUNT(Games[QuadRank])&gt;0,_xlfn.RANK.EQ(Games[[#This Row],[QuadSort]],Games[QuadSort],1),"")</f>
        <v/>
      </c>
      <c r="X72" s="5" t="s">
        <v>65</v>
      </c>
      <c r="Y72" s="5"/>
    </row>
    <row r="73" spans="10:25" x14ac:dyDescent="0.2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/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1.3942215974404387E-6</v>
      </c>
      <c r="U73" cm="1">
        <f t="array" aca="1" ref="U7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1.3942215974404387E-6</v>
      </c>
      <c r="V73">
        <f ca="1">_xlfn.RANK.EQ(Games[[#This Row],[Sort]],Games[Sort],1)</f>
        <v>42</v>
      </c>
      <c r="W73" t="str">
        <f>IF(COUNT(Games[QuadRank])&gt;0,_xlfn.RANK.EQ(Games[[#This Row],[QuadSort]],Games[QuadSort],1),"")</f>
        <v/>
      </c>
      <c r="X73" s="5" t="s">
        <v>66</v>
      </c>
      <c r="Y73" s="5"/>
    </row>
    <row r="74" spans="10:25" x14ac:dyDescent="0.2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12"/>
      <c r="S74" s="16"/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2.712300960739998E-6</v>
      </c>
      <c r="U74" cm="1">
        <f t="array" aca="1" ref="U7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2.712300960739998E-6</v>
      </c>
      <c r="V74">
        <f ca="1">_xlfn.RANK.EQ(Games[[#This Row],[Sort]],Games[Sort],1)</f>
        <v>81</v>
      </c>
      <c r="W74" t="str">
        <f>IF(COUNT(Games[QuadRank])&gt;0,_xlfn.RANK.EQ(Games[[#This Row],[QuadSort]],Games[QuadSort],1),"")</f>
        <v/>
      </c>
      <c r="X74" s="5" t="s">
        <v>67</v>
      </c>
      <c r="Y74" s="5"/>
    </row>
    <row r="75" spans="10:25" x14ac:dyDescent="0.2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12"/>
      <c r="S75" s="16"/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1.3148311787119059E-6</v>
      </c>
      <c r="U75" cm="1">
        <f t="array" aca="1" ref="U7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1.3148311787119059E-6</v>
      </c>
      <c r="V75">
        <f ca="1">_xlfn.RANK.EQ(Games[[#This Row],[Sort]],Games[Sort],1)</f>
        <v>40</v>
      </c>
      <c r="W75" t="str">
        <f>IF(COUNT(Games[QuadRank])&gt;0,_xlfn.RANK.EQ(Games[[#This Row],[QuadSort]],Games[QuadSort],1),"")</f>
        <v/>
      </c>
      <c r="X75" s="5" t="s">
        <v>67</v>
      </c>
      <c r="Y75" s="5"/>
    </row>
    <row r="76" spans="10:25" x14ac:dyDescent="0.2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12"/>
      <c r="S76" s="16"/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1.2837945241225908E-6</v>
      </c>
      <c r="U76" cm="1">
        <f t="array" aca="1" ref="U7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1.2837945241225908E-6</v>
      </c>
      <c r="V76">
        <f ca="1">_xlfn.RANK.EQ(Games[[#This Row],[Sort]],Games[Sort],1)</f>
        <v>38</v>
      </c>
      <c r="W76" t="str">
        <f>IF(COUNT(Games[QuadRank])&gt;0,_xlfn.RANK.EQ(Games[[#This Row],[QuadSort]],Games[QuadSort],1),"")</f>
        <v/>
      </c>
      <c r="X76" s="5" t="s">
        <v>67</v>
      </c>
      <c r="Y76" s="5"/>
    </row>
    <row r="77" spans="10:25" x14ac:dyDescent="0.2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/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3.2098751885127533E-7</v>
      </c>
      <c r="U77" cm="1">
        <f t="array" aca="1" ref="U7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3.2098751885127533E-7</v>
      </c>
      <c r="V77">
        <f ca="1">_xlfn.RANK.EQ(Games[[#This Row],[Sort]],Games[Sort],1)</f>
        <v>7</v>
      </c>
      <c r="W77" t="str">
        <f>IF(COUNT(Games[QuadRank])&gt;0,_xlfn.RANK.EQ(Games[[#This Row],[QuadSort]],Games[QuadSort],1),"")</f>
        <v/>
      </c>
      <c r="X77" s="5"/>
      <c r="Y77" s="5"/>
    </row>
    <row r="78" spans="10:25" x14ac:dyDescent="0.2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/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1.3242406713176672E-6</v>
      </c>
      <c r="U78" cm="1">
        <f t="array" aca="1" ref="U7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1.3242406713176672E-6</v>
      </c>
      <c r="V78">
        <f ca="1">_xlfn.RANK.EQ(Games[[#This Row],[Sort]],Games[Sort],1)</f>
        <v>41</v>
      </c>
      <c r="W78" t="str">
        <f>IF(COUNT(Games[QuadRank])&gt;0,_xlfn.RANK.EQ(Games[[#This Row],[QuadSort]],Games[QuadSort],1),"")</f>
        <v/>
      </c>
      <c r="X78" s="5"/>
      <c r="Y78" s="5"/>
    </row>
    <row r="79" spans="10:25" x14ac:dyDescent="0.2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/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2.6577398219235141E-7</v>
      </c>
      <c r="U79" cm="1">
        <f t="array" aca="1" ref="U7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2.6577398219235141E-7</v>
      </c>
      <c r="V79">
        <f ca="1">_xlfn.RANK.EQ(Games[[#This Row],[Sort]],Games[Sort],1)</f>
        <v>2</v>
      </c>
      <c r="W79" t="str">
        <f>IF(COUNT(Games[QuadRank])&gt;0,_xlfn.RANK.EQ(Games[[#This Row],[QuadSort]],Games[QuadSort],1),"")</f>
        <v/>
      </c>
      <c r="X79" s="5"/>
      <c r="Y79" s="5"/>
    </row>
    <row r="80" spans="10:25" x14ac:dyDescent="0.2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/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2.0039344767797482E-6</v>
      </c>
      <c r="U80" cm="1">
        <f t="array" aca="1" ref="U8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2.0039344767797482E-6</v>
      </c>
      <c r="V80">
        <f ca="1">_xlfn.RANK.EQ(Games[[#This Row],[Sort]],Games[Sort],1)</f>
        <v>59</v>
      </c>
      <c r="W80" t="str">
        <f>IF(COUNT(Games[QuadRank])&gt;0,_xlfn.RANK.EQ(Games[[#This Row],[QuadSort]],Games[QuadSort],1),"")</f>
        <v/>
      </c>
      <c r="X80" s="5" t="s">
        <v>52</v>
      </c>
      <c r="Y80" s="5"/>
    </row>
    <row r="81" spans="10:25" x14ac:dyDescent="0.2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/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9.4546778765443251E-7</v>
      </c>
      <c r="U81" cm="1">
        <f t="array" aca="1" ref="U8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9.4546778765443251E-7</v>
      </c>
      <c r="V81">
        <f ca="1">_xlfn.RANK.EQ(Games[[#This Row],[Sort]],Games[Sort],1)</f>
        <v>29</v>
      </c>
      <c r="W81" t="str">
        <f>IF(COUNT(Games[QuadRank])&gt;0,_xlfn.RANK.EQ(Games[[#This Row],[QuadSort]],Games[QuadSort],1),"")</f>
        <v/>
      </c>
      <c r="X81" s="5" t="s">
        <v>68</v>
      </c>
      <c r="Y81" s="5"/>
    </row>
    <row r="82" spans="10:25" x14ac:dyDescent="0.2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/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7.1744426242905125E-7</v>
      </c>
      <c r="U82" cm="1">
        <f t="array" aca="1" ref="U8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7.1744426242905125E-7</v>
      </c>
      <c r="V82">
        <f ca="1">_xlfn.RANK.EQ(Games[[#This Row],[Sort]],Games[Sort],1)</f>
        <v>18</v>
      </c>
      <c r="W82" t="str">
        <f>IF(COUNT(Games[QuadRank])&gt;0,_xlfn.RANK.EQ(Games[[#This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2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3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4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5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6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7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8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2026-09-26T21:20:48Z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