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Github\SeatSEAT\examples\Mariners 2026\"/>
    </mc:Choice>
  </mc:AlternateContent>
  <xr:revisionPtr revIDLastSave="0" documentId="13_ncr:1_{25AACA96-6763-4F6D-998A-16F49CEBD2A0}" xr6:coauthVersionLast="47" xr6:coauthVersionMax="47" xr10:uidLastSave="{00000000-0000-0000-0000-000000000000}"/>
  <bookViews>
    <workbookView xWindow="16600" yWindow="2610" windowWidth="19540" windowHeight="1537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E28" i="1"/>
  <c r="AE24" i="1"/>
  <c r="AF24" i="1" s="1"/>
  <c r="AF28" i="1" s="1"/>
  <c r="AE27" i="1"/>
  <c r="AF27" i="1" s="1"/>
  <c r="AD24" i="1"/>
  <c r="AD25" i="1"/>
  <c r="AE25" i="1" s="1"/>
  <c r="AF25" i="1" s="1"/>
  <c r="AD26" i="1"/>
  <c r="AE26" i="1" s="1"/>
  <c r="AF26" i="1" s="1"/>
  <c r="AD27" i="1"/>
  <c r="AD2" i="1"/>
  <c r="AE2" i="1"/>
  <c r="AD3" i="1"/>
  <c r="AE3" i="1"/>
  <c r="AC17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U2" i="1" a="1"/>
  <c r="U2" i="1" s="1"/>
  <c r="U3" i="1" a="1"/>
  <c r="U3" i="1" s="1"/>
  <c r="U4" i="1" a="1"/>
  <c r="U4" i="1" s="1"/>
  <c r="W81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Q79" i="1" l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<sst xmlns="http://schemas.openxmlformats.org/spreadsheetml/2006/main" count="283" uniqueCount="109">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</sst>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0" fillId="4" borderId="0" xfId="0" applyFill="1" applyAlignment="1">
      <alignment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6DCCB573-C32F-449F-AAE2-DB3C03A0DC13}"/>
    <cellStyle name="Normal 3" xfId="2" xr:uid="{00000000-0005-0000-0000-000004000000}"/>
    <cellStyle name="Normal 3 2" xfId="8" xr:uid="{46D1386E-2BCD-4CCE-8300-6F5F7D6BC25D}"/>
    <cellStyle name="Normal 4" xfId="3" xr:uid="{00000000-0005-0000-0000-000005000000}"/>
    <cellStyle name="Normal 4 2" xfId="9" xr:uid="{2E80FC0F-783D-4EDE-85AD-4061E50E1133}"/>
    <cellStyle name="Normal 5" xfId="5" xr:uid="{AF0439D6-8192-4E89-93DB-F527DA4E9322}"/>
    <cellStyle name="Normal 5 2" xfId="10" xr:uid="{12243457-1E7F-45EA-8DD5-C1CFD0C5F8B4}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5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4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3">
      <calculatedColumnFormula>_xlfn.RANK.EQ(Games[[#This Row],[Sort]],Games[Sort],1)</calculatedColumnFormula>
    </tableColumn>
    <tableColumn id="9" xr3:uid="{FE7F021A-A7DE-4DDD-9CB4-33114D9B6A5E}" name="QuadPick" dataDxfId="12">
      <calculatedColumnFormula>IF(ISNUMBER(Games[[#This Row],[QuadRank]]),_xlfn.RANK.EQ(Games[[#This Row],[QuadSort]],Games[QuadSort],1),"")</calculatedColumnFormula>
    </tableColumn>
    <tableColumn id="1" xr3:uid="{E202D478-E193-4757-B123-9D114B30B5E4}" name="Promotions" dataDxfId="11"/>
    <tableColumn id="14" xr3:uid="{02873305-C254-48E4-9E8D-324FD18F7B69}" name="Comment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9" totalsRowDxfId="8"/>
    <tableColumn id="2" xr3:uid="{D785142C-C4FC-418F-A0C8-7745E2B467E4}" name="Price" dataDxfId="7" dataCellStyle="Currency" totalsRowCellStyle="Currency"/>
    <tableColumn id="3" xr3:uid="{F14FCFFA-E6B3-465B-BEC9-D1AFB23F6C0D}" name="Pairs"/>
    <tableColumn id="4" xr3:uid="{77C90207-35F5-4AB4-B4C2-39C4FABA9268}" name="Games" totalsRowFunction="sum" dataDxfId="6">
      <calculatedColumnFormula>COUNTIF(Games[Type],Types[[#This Row],[Type]])</calculatedColumnFormula>
    </tableColumn>
    <tableColumn id="5" xr3:uid="{B143CB75-DF50-4323-85C5-10526A2643E2}" name="Tickets" totalsRowFunction="sum" dataDxfId="5">
      <calculatedColumnFormula>Types[[#This Row],[Games]]*Types[[#This Row],[Pairs]]*2</calculatedColumnFormula>
    </tableColumn>
    <tableColumn id="6" xr3:uid="{1050CF1C-249D-4CE7-A143-304C5582C5BA}" name="Cost" totalsRowFunction="sum" data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44" activePane="bottomLeft" state="frozen"/>
      <selection pane="bottomLeft" activeCell="V81" sqref="V81"/>
    </sheetView>
  </sheetViews>
  <sheetFormatPr defaultRowHeight="12.5" x14ac:dyDescent="0.25"/>
  <cols>
    <col min="1" max="1" width="4.26953125" customWidth="1"/>
    <col min="2" max="2" width="4" customWidth="1"/>
    <col min="3" max="3" width="7.453125" customWidth="1"/>
    <col min="4" max="4" width="2.81640625" customWidth="1"/>
    <col min="5" max="5" width="6.453125" customWidth="1"/>
    <col min="6" max="6" width="3.1796875" customWidth="1"/>
    <col min="7" max="8" width="4.26953125" customWidth="1"/>
    <col min="9" max="9" width="18.453125" customWidth="1"/>
    <col min="10" max="10" width="7.81640625" style="4" bestFit="1" customWidth="1"/>
    <col min="11" max="11" width="8.7265625" style="4" bestFit="1" customWidth="1"/>
    <col min="12" max="12" width="9.1796875" style="4" bestFit="1" customWidth="1"/>
    <col min="13" max="13" width="14.7265625" style="2" bestFit="1" customWidth="1"/>
    <col min="14" max="14" width="6.1796875" customWidth="1"/>
    <col min="15" max="16" width="7.26953125" hidden="1" customWidth="1"/>
    <col min="17" max="17" width="10" bestFit="1" customWidth="1"/>
    <col min="18" max="18" width="7.1796875" customWidth="1"/>
    <col min="19" max="19" width="15.81640625" customWidth="1"/>
    <col min="20" max="20" width="15.81640625" hidden="1" customWidth="1"/>
    <col min="21" max="21" width="9.1796875" hidden="1" customWidth="1"/>
    <col min="22" max="22" width="10.1796875" bestFit="1" customWidth="1"/>
    <col min="23" max="23" width="7.26953125" customWidth="1"/>
    <col min="24" max="24" width="88.54296875" bestFit="1" customWidth="1"/>
    <col min="25" max="25" width="22.7265625" customWidth="1"/>
    <col min="26" max="26" width="3" customWidth="1"/>
    <col min="27" max="27" width="14" bestFit="1" customWidth="1"/>
    <col min="28" max="28" width="7.1796875" customWidth="1"/>
    <col min="29" max="29" width="8.1796875" customWidth="1"/>
    <col min="30" max="30" width="10.26953125" bestFit="1" customWidth="1"/>
    <col min="32" max="32" width="11" bestFit="1" customWidth="1"/>
  </cols>
  <sheetData>
    <row r="1" spans="1:31" s="1" customFormat="1" ht="31" x14ac:dyDescent="0.3">
      <c r="B1"/>
      <c r="C1"/>
      <c r="D1"/>
      <c r="E1"/>
      <c r="F1"/>
      <c r="G1"/>
      <c r="J1" s="16" t="s">
        <v>2</v>
      </c>
      <c r="K1" s="17" t="s">
        <v>0</v>
      </c>
      <c r="L1" s="18" t="s">
        <v>1</v>
      </c>
      <c r="M1" s="16" t="s">
        <v>4</v>
      </c>
      <c r="N1" s="18" t="s">
        <v>86</v>
      </c>
      <c r="O1" s="18" t="s">
        <v>88</v>
      </c>
      <c r="P1" s="18" t="s">
        <v>95</v>
      </c>
      <c r="Q1" s="18" t="s">
        <v>96</v>
      </c>
      <c r="R1" s="19" t="s">
        <v>3</v>
      </c>
      <c r="S1" s="19" t="s">
        <v>87</v>
      </c>
      <c r="T1" s="18" t="s">
        <v>75</v>
      </c>
      <c r="U1" s="18" t="s">
        <v>94</v>
      </c>
      <c r="V1" s="18" t="s">
        <v>89</v>
      </c>
      <c r="W1" s="18" t="s">
        <v>90</v>
      </c>
      <c r="X1" s="16" t="s">
        <v>92</v>
      </c>
      <c r="Y1" s="16" t="s">
        <v>93</v>
      </c>
      <c r="AA1" s="16" t="s">
        <v>91</v>
      </c>
      <c r="AB1" s="16" t="s">
        <v>76</v>
      </c>
      <c r="AC1" s="16" t="s">
        <v>77</v>
      </c>
      <c r="AD1" s="16" t="s">
        <v>82</v>
      </c>
      <c r="AE1" s="16" t="s">
        <v>83</v>
      </c>
    </row>
    <row r="2" spans="1:31" x14ac:dyDescent="0.25">
      <c r="J2" s="7" t="str">
        <f t="shared" ref="J2:J33" si="0"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3">
        <v>81</v>
      </c>
      <c r="S2" s="15"/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81.000000396135832</v>
      </c>
      <c r="U2" cm="1">
        <f t="array" aca="1" ref="U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3.961358366100347E-7</v>
      </c>
      <c r="V2">
        <f ca="1">_xlfn.RANK.EQ(Games[[#This Row],[Sort]],Games[Sort],1)</f>
        <v>81</v>
      </c>
      <c r="W2" t="str">
        <f>IF(ISNUMBER(Games[[#This Row],[QuadRank]]),_xlfn.RANK.EQ(Games[[#This Row],[QuadSort]],Games[QuadSort],1),"")</f>
        <v/>
      </c>
      <c r="X2" s="5" t="s">
        <v>38</v>
      </c>
      <c r="Y2" s="5"/>
      <c r="AA2" s="20" t="s">
        <v>79</v>
      </c>
      <c r="AB2" s="21">
        <v>14</v>
      </c>
      <c r="AC2" s="21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5">
      <c r="J3" s="7" t="str">
        <f t="shared" si="0"/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3">
        <v>80</v>
      </c>
      <c r="S3" s="15"/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80.00000126251031</v>
      </c>
      <c r="U3" cm="1">
        <f t="array" aca="1" ref="U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1.2625103146603254E-6</v>
      </c>
      <c r="V3">
        <f ca="1">_xlfn.RANK.EQ(Games[[#This Row],[Sort]],Games[Sort],1)</f>
        <v>80</v>
      </c>
      <c r="W3" t="str">
        <f>IF(ISNUMBER(Games[[#This Row],[QuadRank]]),_xlfn.RANK.EQ(Games[[#This Row],[QuadSort]],Games[QuadSort],1),"")</f>
        <v/>
      </c>
      <c r="X3" s="5" t="s">
        <v>39</v>
      </c>
      <c r="Y3" s="5"/>
      <c r="AA3" s="20" t="s">
        <v>99</v>
      </c>
      <c r="AB3" s="21">
        <v>0</v>
      </c>
      <c r="AC3" s="21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5">
      <c r="J4" s="7" t="str">
        <f t="shared" si="0"/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3">
        <v>79</v>
      </c>
      <c r="S4" s="15"/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79.000000045983612</v>
      </c>
      <c r="U4" cm="1">
        <f t="array" aca="1" ref="U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4.5983618354960665E-8</v>
      </c>
      <c r="V4">
        <f ca="1">_xlfn.RANK.EQ(Games[[#This Row],[Sort]],Games[Sort],1)</f>
        <v>79</v>
      </c>
      <c r="W4" t="str">
        <f>IF(ISNUMBER(Games[[#This Row],[QuadRank]]),_xlfn.RANK.EQ(Games[[#This Row],[QuadSort]],Games[QuadSort],1),"")</f>
        <v/>
      </c>
      <c r="X4" s="5" t="s">
        <v>40</v>
      </c>
      <c r="Y4" s="5"/>
      <c r="AA4" s="20" t="s">
        <v>100</v>
      </c>
      <c r="AB4" s="21">
        <v>5</v>
      </c>
      <c r="AC4" s="21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5">
      <c r="J5" s="7" t="str">
        <f t="shared" si="0"/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3">
        <v>78</v>
      </c>
      <c r="S5" s="15"/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78.000000018501964</v>
      </c>
      <c r="U5" cm="1">
        <f t="array" aca="1" ref="U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1.8501959817662632E-8</v>
      </c>
      <c r="V5">
        <f ca="1">_xlfn.RANK.EQ(Games[[#This Row],[Sort]],Games[Sort],1)</f>
        <v>78</v>
      </c>
      <c r="W5" t="str">
        <f>IF(ISNUMBER(Games[[#This Row],[QuadRank]]),_xlfn.RANK.EQ(Games[[#This Row],[QuadSort]],Games[QuadSort],1),"")</f>
        <v/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ht="13" x14ac:dyDescent="0.3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3">
        <v>17</v>
      </c>
      <c r="S6" s="15"/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17.000002555014355</v>
      </c>
      <c r="U6" cm="1">
        <f t="array" aca="1" ref="U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2.5550143544447341E-6</v>
      </c>
      <c r="V6">
        <f ca="1">_xlfn.RANK.EQ(Games[[#This Row],[Sort]],Games[Sort],1)</f>
        <v>17</v>
      </c>
      <c r="W6" t="str">
        <f>IF(ISNUMBER(Games[[#This Row],[QuadRank]]),_xlfn.RANK.EQ(Games[[#This Row],[QuadSort]],Games[QuadSort],1),"")</f>
        <v/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5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3">
        <v>18</v>
      </c>
      <c r="S7" s="15"/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18.000002217019418</v>
      </c>
      <c r="U7" cm="1">
        <f t="array" aca="1" ref="U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2.2170194195047634E-6</v>
      </c>
      <c r="V7">
        <f ca="1">_xlfn.RANK.EQ(Games[[#This Row],[Sort]],Games[Sort],1)</f>
        <v>18</v>
      </c>
      <c r="W7" t="str">
        <f>IF(ISNUMBER(Games[[#This Row],[QuadRank]]),_xlfn.RANK.EQ(Games[[#This Row],[QuadSort]],Games[QuadSort],1),"")</f>
        <v/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5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3">
        <v>19</v>
      </c>
      <c r="S8" s="15"/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19.000002325753371</v>
      </c>
      <c r="U8" cm="1">
        <f t="array" aca="1" ref="U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2.3257533707081863E-6</v>
      </c>
      <c r="V8">
        <f ca="1">_xlfn.RANK.EQ(Games[[#This Row],[Sort]],Games[Sort],1)</f>
        <v>19</v>
      </c>
      <c r="W8" t="str">
        <f>IF(ISNUMBER(Games[[#This Row],[QuadRank]]),_xlfn.RANK.EQ(Games[[#This Row],[QuadSort]],Games[QuadSort],1),"")</f>
        <v/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5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3">
        <v>77</v>
      </c>
      <c r="S9" s="15"/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77.000002022090669</v>
      </c>
      <c r="U9" cm="1">
        <f t="array" aca="1" ref="U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2.0220906760747711E-6</v>
      </c>
      <c r="V9">
        <f ca="1">_xlfn.RANK.EQ(Games[[#This Row],[Sort]],Games[Sort],1)</f>
        <v>77</v>
      </c>
      <c r="W9" t="str">
        <f>IF(ISNUMBER(Games[[#This Row],[QuadRank]]),_xlfn.RANK.EQ(Games[[#This Row],[QuadSort]],Games[QuadSort],1),"")</f>
        <v/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5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3">
        <v>76</v>
      </c>
      <c r="S10" s="15"/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76.000001684095736</v>
      </c>
      <c r="U10" cm="1">
        <f t="array" aca="1" ref="U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1.6840957411348002E-6</v>
      </c>
      <c r="V10">
        <f ca="1">_xlfn.RANK.EQ(Games[[#This Row],[Sort]],Games[Sort],1)</f>
        <v>76</v>
      </c>
      <c r="W10" t="str">
        <f>IF(ISNUMBER(Games[[#This Row],[QuadRank]]),_xlfn.RANK.EQ(Games[[#This Row],[QuadSort]],Games[QuadSort],1),"")</f>
        <v/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5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3">
        <v>75</v>
      </c>
      <c r="S11" s="15"/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75.000001792829693</v>
      </c>
      <c r="U11" cm="1">
        <f t="array" aca="1" ref="U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1.7928296923382234E-6</v>
      </c>
      <c r="V11">
        <f ca="1">_xlfn.RANK.EQ(Games[[#This Row],[Sort]],Games[Sort],1)</f>
        <v>75</v>
      </c>
      <c r="W11" t="str">
        <f>IF(ISNUMBER(Games[[#This Row],[QuadRank]]),_xlfn.RANK.EQ(Games[[#This Row],[QuadSort]],Games[QuadSort],1),"")</f>
        <v/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5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3">
        <v>74</v>
      </c>
      <c r="S12" s="15"/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74.000001454834759</v>
      </c>
      <c r="U12" cm="1">
        <f t="array" aca="1" ref="U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1.4548347573982527E-6</v>
      </c>
      <c r="V12">
        <f ca="1">_xlfn.RANK.EQ(Games[[#This Row],[Sort]],Games[Sort],1)</f>
        <v>74</v>
      </c>
      <c r="W12" t="str">
        <f>IF(ISNUMBER(Games[[#This Row],[QuadRank]]),_xlfn.RANK.EQ(Games[[#This Row],[QuadSort]],Games[QuadSort],1),"")</f>
        <v/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5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3">
        <v>20</v>
      </c>
      <c r="S13" s="15"/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20.00000239585216</v>
      </c>
      <c r="U13" cm="1">
        <f t="array" aca="1" ref="U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2.3958521588922362E-6</v>
      </c>
      <c r="V13">
        <f ca="1">_xlfn.RANK.EQ(Games[[#This Row],[Sort]],Games[Sort],1)</f>
        <v>20</v>
      </c>
      <c r="W13" t="str">
        <f>IF(ISNUMBER(Games[[#This Row],[QuadRank]]),_xlfn.RANK.EQ(Games[[#This Row],[QuadSort]],Games[QuadSort],1),"")</f>
        <v/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5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3">
        <v>21</v>
      </c>
      <c r="S14" s="15"/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21.000000999300674</v>
      </c>
      <c r="U14" cm="1">
        <f t="array" aca="1" ref="U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9.9930067304266644E-7</v>
      </c>
      <c r="V14">
        <f ca="1">_xlfn.RANK.EQ(Games[[#This Row],[Sort]],Games[Sort],1)</f>
        <v>21</v>
      </c>
      <c r="W14" t="str">
        <f>IF(ISNUMBER(Games[[#This Row],[QuadRank]]),_xlfn.RANK.EQ(Games[[#This Row],[QuadSort]],Games[QuadSort],1),"")</f>
        <v/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5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3">
        <v>73</v>
      </c>
      <c r="S15" s="15"/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73.000002611885748</v>
      </c>
      <c r="U15" cm="1">
        <f t="array" aca="1" ref="U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2.6118857537281432E-6</v>
      </c>
      <c r="V15">
        <f ca="1">_xlfn.RANK.EQ(Games[[#This Row],[Sort]],Games[Sort],1)</f>
        <v>73</v>
      </c>
      <c r="W15" t="str">
        <f>IF(ISNUMBER(Games[[#This Row],[QuadRank]]),_xlfn.RANK.EQ(Games[[#This Row],[QuadSort]],Games[QuadSort],1),"")</f>
        <v/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5">
      <c r="J16" s="7" t="str">
        <f t="shared" si="0"/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3">
        <v>72</v>
      </c>
      <c r="S16" s="15"/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72.000001827161938</v>
      </c>
      <c r="U16" cm="1">
        <f t="array" aca="1" ref="U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1.8271619326447787E-6</v>
      </c>
      <c r="V16">
        <f ca="1">_xlfn.RANK.EQ(Games[[#This Row],[Sort]],Games[Sort],1)</f>
        <v>72</v>
      </c>
      <c r="W16" t="str">
        <f>IF(ISNUMBER(Games[[#This Row],[QuadRank]]),_xlfn.RANK.EQ(Games[[#This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5">
      <c r="J17" s="7" t="str">
        <f t="shared" si="0"/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3">
        <v>71</v>
      </c>
      <c r="S17" s="15"/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71.000001489166991</v>
      </c>
      <c r="U17" cm="1">
        <f t="array" aca="1" ref="U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1.489166997704808E-6</v>
      </c>
      <c r="V17">
        <f ca="1">_xlfn.RANK.EQ(Games[[#This Row],[Sort]],Games[Sort],1)</f>
        <v>71</v>
      </c>
      <c r="W17" t="str">
        <f>IF(ISNUMBER(Games[[#This Row],[QuadRank]]),_xlfn.RANK.EQ(Games[[#This Row],[QuadSort]],Games[QuadSort],1),"")</f>
        <v/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ht="13" x14ac:dyDescent="0.3">
      <c r="J18" s="7" t="str">
        <f t="shared" si="0"/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3">
        <v>70</v>
      </c>
      <c r="S18" s="15"/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70.000001597900948</v>
      </c>
      <c r="U18" cm="1">
        <f t="array" aca="1" ref="U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1.5979009489082311E-6</v>
      </c>
      <c r="V18">
        <f ca="1">_xlfn.RANK.EQ(Games[[#This Row],[Sort]],Games[Sort],1)</f>
        <v>70</v>
      </c>
      <c r="W18" t="str">
        <f>IF(ISNUMBER(Games[[#This Row],[QuadRank]]),_xlfn.RANK.EQ(Games[[#This Row],[QuadSort]],Games[QuadSort],1),"")</f>
        <v/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5">
      <c r="J19" s="7" t="str">
        <f t="shared" si="0"/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3">
        <v>22</v>
      </c>
      <c r="S19" s="15"/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22.000002629598406</v>
      </c>
      <c r="U19" cm="1">
        <f t="array" aca="1" ref="U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2.6295984049059758E-6</v>
      </c>
      <c r="V19">
        <f ca="1">_xlfn.RANK.EQ(Games[[#This Row],[Sort]],Games[Sort],1)</f>
        <v>22</v>
      </c>
      <c r="W19" t="str">
        <f>IF(ISNUMBER(Games[[#This Row],[QuadRank]]),_xlfn.RANK.EQ(Games[[#This Row],[QuadSort]],Games[QuadSort],1),"")</f>
        <v/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5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3">
        <v>69</v>
      </c>
      <c r="S20" s="15"/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69.000000956243326</v>
      </c>
      <c r="U20" cm="1">
        <f t="array" aca="1" ref="U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9.56243319334845E-7</v>
      </c>
      <c r="V20">
        <f ca="1">_xlfn.RANK.EQ(Games[[#This Row],[Sort]],Games[Sort],1)</f>
        <v>69</v>
      </c>
      <c r="W20" t="str">
        <f>IF(ISNUMBER(Games[[#This Row],[QuadRank]]),_xlfn.RANK.EQ(Games[[#This Row],[QuadSort]],Games[QuadSort],1),"")</f>
        <v/>
      </c>
      <c r="X20" s="5" t="s">
        <v>47</v>
      </c>
      <c r="Y20" s="5"/>
    </row>
    <row r="21" spans="2:32" x14ac:dyDescent="0.25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3">
        <v>68</v>
      </c>
      <c r="S21" s="15"/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68.000001064977269</v>
      </c>
      <c r="U21" cm="1">
        <f t="array" aca="1" ref="U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1.0649772705382679E-6</v>
      </c>
      <c r="V21">
        <f ca="1">_xlfn.RANK.EQ(Games[[#This Row],[Sort]],Games[Sort],1)</f>
        <v>68</v>
      </c>
      <c r="W21" t="str">
        <f>IF(ISNUMBER(Games[[#This Row],[QuadRank]]),_xlfn.RANK.EQ(Games[[#This Row],[QuadSort]],Games[QuadSort],1),"")</f>
        <v/>
      </c>
      <c r="X21" s="5" t="s">
        <v>48</v>
      </c>
      <c r="Y21" s="5"/>
    </row>
    <row r="22" spans="2:32" x14ac:dyDescent="0.25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3">
        <v>23</v>
      </c>
      <c r="S22" s="15"/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23.000000280253449</v>
      </c>
      <c r="U22" cm="1">
        <f t="array" aca="1" ref="U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2.802534494549036E-7</v>
      </c>
      <c r="V22">
        <f ca="1">_xlfn.RANK.EQ(Games[[#This Row],[Sort]],Games[Sort],1)</f>
        <v>23</v>
      </c>
      <c r="W22" t="str">
        <f>IF(ISNUMBER(Games[[#This Row],[QuadRank]]),_xlfn.RANK.EQ(Games[[#This Row],[QuadSort]],Games[QuadSort],1),"")</f>
        <v/>
      </c>
      <c r="X22" s="5"/>
      <c r="Y22" s="5"/>
    </row>
    <row r="23" spans="2:32" x14ac:dyDescent="0.25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3">
        <v>67</v>
      </c>
      <c r="S23" s="15"/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67.00000268198454</v>
      </c>
      <c r="U23" cm="1">
        <f t="array" aca="1" ref="U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2.6819845419121931E-6</v>
      </c>
      <c r="V23">
        <f ca="1">_xlfn.RANK.EQ(Games[[#This Row],[Sort]],Games[Sort],1)</f>
        <v>67</v>
      </c>
      <c r="W23" t="str">
        <f>IF(ISNUMBER(Games[[#This Row],[QuadRank]]),_xlfn.RANK.EQ(Games[[#This Row],[QuadSort]],Games[QuadSort],1),"")</f>
        <v/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5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3">
        <v>66</v>
      </c>
      <c r="S24" s="15"/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66.000000050992469</v>
      </c>
      <c r="U24" cm="1">
        <f t="array" aca="1" ref="U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5.0992465718355894E-8</v>
      </c>
      <c r="V24">
        <f ca="1">_xlfn.RANK.EQ(Games[[#This Row],[Sort]],Games[Sort],1)</f>
        <v>66</v>
      </c>
      <c r="W24" t="str">
        <f>IF(ISNUMBER(Games[[#This Row],[QuadRank]]),_xlfn.RANK.EQ(Games[[#This Row],[QuadSort]],Games[QuadSort],1),"")</f>
        <v/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2">
        <f>Types[[#This Row],[Tickets]]*Types[[#This Row],[Price]]</f>
        <v>7920</v>
      </c>
    </row>
    <row r="25" spans="2:32" x14ac:dyDescent="0.25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3">
        <v>65</v>
      </c>
      <c r="S25" s="15"/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65.000002487055795</v>
      </c>
      <c r="U25" cm="1">
        <f t="array" aca="1" ref="U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2.4870557984822009E-6</v>
      </c>
      <c r="V25">
        <f ca="1">_xlfn.RANK.EQ(Games[[#This Row],[Sort]],Games[Sort],1)</f>
        <v>65</v>
      </c>
      <c r="W25" t="str">
        <f>IF(ISNUMBER(Games[[#This Row],[QuadRank]]),_xlfn.RANK.EQ(Games[[#This Row],[QuadSort]],Games[QuadSort],1),"")</f>
        <v/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2">
        <f>Types[[#This Row],[Tickets]]*Types[[#This Row],[Price]]</f>
        <v>8004</v>
      </c>
    </row>
    <row r="26" spans="2:32" x14ac:dyDescent="0.25">
      <c r="J26" s="7" t="str">
        <f t="shared" si="0"/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3">
        <v>64</v>
      </c>
      <c r="S26" s="15"/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64.000000645209738</v>
      </c>
      <c r="U26" cm="1">
        <f t="array" aca="1" ref="U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6.4520973406017643E-7</v>
      </c>
      <c r="V26">
        <f ca="1">_xlfn.RANK.EQ(Games[[#This Row],[Sort]],Games[Sort],1)</f>
        <v>64</v>
      </c>
      <c r="W26" t="str">
        <f>IF(ISNUMBER(Games[[#This Row],[QuadRank]]),_xlfn.RANK.EQ(Games[[#This Row],[QuadSort]],Games[QuadSort],1),"")</f>
        <v/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2">
        <f>Types[[#This Row],[Tickets]]*Types[[#This Row],[Price]]</f>
        <v>4332</v>
      </c>
    </row>
    <row r="27" spans="2:32" x14ac:dyDescent="0.25">
      <c r="J27" s="7" t="str">
        <f t="shared" si="0"/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3">
        <v>63</v>
      </c>
      <c r="S27" s="15"/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63.000001676284626</v>
      </c>
      <c r="U27" cm="1">
        <f t="array" aca="1" ref="U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1.6762846264324775E-6</v>
      </c>
      <c r="V27">
        <f ca="1">_xlfn.RANK.EQ(Games[[#This Row],[Sort]],Games[Sort],1)</f>
        <v>63</v>
      </c>
      <c r="W27" t="str">
        <f>IF(ISNUMBER(Games[[#This Row],[QuadRank]]),_xlfn.RANK.EQ(Games[[#This Row],[QuadSort]],Games[QuadSort],1),"")</f>
        <v/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2">
        <f>Types[[#This Row],[Tickets]]*Types[[#This Row],[Price]]</f>
        <v>1980</v>
      </c>
    </row>
    <row r="28" spans="2:32" x14ac:dyDescent="0.25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3">
        <v>24</v>
      </c>
      <c r="S28" s="15"/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24.000001918365573</v>
      </c>
      <c r="U28" cm="1">
        <f t="array" aca="1" ref="U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1.9183655722347431E-6</v>
      </c>
      <c r="V28">
        <f ca="1">_xlfn.RANK.EQ(Games[[#This Row],[Sort]],Games[Sort],1)</f>
        <v>24</v>
      </c>
      <c r="W28" t="str">
        <f>IF(ISNUMBER(Games[[#This Row],[QuadRank]]),_xlfn.RANK.EQ(Games[[#This Row],[QuadSort]],Games[QuadSort],1),"")</f>
        <v/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2">
        <f>SUBTOTAL(109,Types[Cost])</f>
        <v>22236</v>
      </c>
    </row>
    <row r="29" spans="2:32" x14ac:dyDescent="0.25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3">
        <v>25</v>
      </c>
      <c r="S29" s="15"/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25.000001580370636</v>
      </c>
      <c r="U29" cm="1">
        <f t="array" aca="1" ref="U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1.5803706372947726E-6</v>
      </c>
      <c r="V29">
        <f ca="1">_xlfn.RANK.EQ(Games[[#This Row],[Sort]],Games[Sort],1)</f>
        <v>25</v>
      </c>
      <c r="W29" t="str">
        <f>IF(ISNUMBER(Games[[#This Row],[QuadRank]]),_xlfn.RANK.EQ(Games[[#This Row],[QuadSort]],Games[QuadSort],1),"")</f>
        <v/>
      </c>
      <c r="X29" s="5" t="s">
        <v>51</v>
      </c>
      <c r="Y29" s="5"/>
    </row>
    <row r="30" spans="2:32" x14ac:dyDescent="0.25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3">
        <v>26</v>
      </c>
      <c r="S30" s="15"/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26.00000168910459</v>
      </c>
      <c r="U30" cm="1">
        <f t="array" aca="1" ref="U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1.6891045884981955E-6</v>
      </c>
      <c r="V30">
        <f ca="1">_xlfn.RANK.EQ(Games[[#This Row],[Sort]],Games[Sort],1)</f>
        <v>26</v>
      </c>
      <c r="W30" t="str">
        <f>IF(ISNUMBER(Games[[#This Row],[QuadRank]]),_xlfn.RANK.EQ(Games[[#This Row],[QuadSort]],Games[QuadSort],1),"")</f>
        <v/>
      </c>
      <c r="X30" s="5"/>
      <c r="Y30" s="5"/>
    </row>
    <row r="31" spans="2:32" x14ac:dyDescent="0.25">
      <c r="D31" s="8"/>
      <c r="E31" s="8"/>
      <c r="F31" s="8"/>
      <c r="G31" s="6"/>
      <c r="H31" s="6"/>
      <c r="I31" s="6"/>
      <c r="J31" s="7" t="str">
        <f t="shared" si="0"/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3">
        <v>62</v>
      </c>
      <c r="S31" s="15"/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62.000001059604244</v>
      </c>
      <c r="U31" cm="1">
        <f t="array" aca="1" ref="U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1.0596042422399129E-6</v>
      </c>
      <c r="V31">
        <f ca="1">_xlfn.RANK.EQ(Games[[#This Row],[Sort]],Games[Sort],1)</f>
        <v>62</v>
      </c>
      <c r="W31" t="str">
        <f>IF(ISNUMBER(Games[[#This Row],[QuadRank]]),_xlfn.RANK.EQ(Games[[#This Row],[QuadSort]],Games[QuadSort],1),"")</f>
        <v/>
      </c>
      <c r="X31" s="5" t="s">
        <v>52</v>
      </c>
      <c r="Y31" s="5"/>
    </row>
    <row r="32" spans="2:32" x14ac:dyDescent="0.25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3">
        <v>61</v>
      </c>
      <c r="S32" s="15"/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61.000000721609304</v>
      </c>
      <c r="U32" cm="1">
        <f t="array" aca="1" ref="U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7.2160930729994219E-7</v>
      </c>
      <c r="V32">
        <f ca="1">_xlfn.RANK.EQ(Games[[#This Row],[Sort]],Games[Sort],1)</f>
        <v>61</v>
      </c>
      <c r="W32" t="str">
        <f>IF(ISNUMBER(Games[[#This Row],[QuadRank]]),_xlfn.RANK.EQ(Games[[#This Row],[QuadSort]],Games[QuadSort],1),"")</f>
        <v/>
      </c>
      <c r="X32" s="5" t="s">
        <v>53</v>
      </c>
      <c r="Y32" s="5"/>
    </row>
    <row r="33" spans="2:25" x14ac:dyDescent="0.25">
      <c r="J33" s="7" t="str">
        <f t="shared" si="0"/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3">
        <v>60</v>
      </c>
      <c r="S33" s="15"/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60.000001156180907</v>
      </c>
      <c r="U33" cm="1">
        <f t="array" aca="1" ref="U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1.1561809101282326E-6</v>
      </c>
      <c r="V33">
        <f ca="1">_xlfn.RANK.EQ(Games[[#This Row],[Sort]],Games[Sort],1)</f>
        <v>60</v>
      </c>
      <c r="W33" t="str">
        <f>IF(ISNUMBER(Games[[#This Row],[QuadRank]]),_xlfn.RANK.EQ(Games[[#This Row],[QuadSort]],Games[QuadSort],1),"")</f>
        <v/>
      </c>
      <c r="X33" s="5" t="s">
        <v>54</v>
      </c>
      <c r="Y33" s="5"/>
    </row>
    <row r="34" spans="2:25" x14ac:dyDescent="0.25">
      <c r="J34" s="7" t="str">
        <f t="shared" ref="J34:J65" si="1"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3">
        <v>59</v>
      </c>
      <c r="S34" s="15"/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59.000000371457091</v>
      </c>
      <c r="U34" cm="1">
        <f t="array" aca="1" ref="U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3.7145708904486812E-7</v>
      </c>
      <c r="V34">
        <f ca="1">_xlfn.RANK.EQ(Games[[#This Row],[Sort]],Games[Sort],1)</f>
        <v>59</v>
      </c>
      <c r="W34" t="str">
        <f>IF(ISNUMBER(Games[[#This Row],[QuadRank]]),_xlfn.RANK.EQ(Games[[#This Row],[QuadSort]],Games[QuadSort],1),"")</f>
        <v/>
      </c>
      <c r="X34" s="5"/>
      <c r="Y34" s="5"/>
    </row>
    <row r="35" spans="2:25" x14ac:dyDescent="0.25">
      <c r="J35" s="7" t="str">
        <f t="shared" si="1"/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3">
        <v>57</v>
      </c>
      <c r="S35" s="15"/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57.000000033462157</v>
      </c>
      <c r="U35" cm="1">
        <f t="array" aca="1" ref="U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3.3462154104897422E-8</v>
      </c>
      <c r="V35">
        <f ca="1">_xlfn.RANK.EQ(Games[[#This Row],[Sort]],Games[Sort],1)</f>
        <v>57</v>
      </c>
      <c r="W35" t="str">
        <f>IF(ISNUMBER(Games[[#This Row],[QuadRank]]),_xlfn.RANK.EQ(Games[[#This Row],[QuadSort]],Games[QuadSort],1),"")</f>
        <v/>
      </c>
      <c r="X35" s="5"/>
      <c r="Y35" s="5"/>
    </row>
    <row r="36" spans="2:25" x14ac:dyDescent="0.25">
      <c r="J36" s="7" t="str">
        <f t="shared" si="1"/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3">
        <v>58</v>
      </c>
      <c r="S36" s="15"/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58.000000468033754</v>
      </c>
      <c r="U36" cm="1">
        <f t="array" aca="1" ref="U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4.680337569331878E-7</v>
      </c>
      <c r="V36">
        <f ca="1">_xlfn.RANK.EQ(Games[[#This Row],[Sort]],Games[Sort],1)</f>
        <v>58</v>
      </c>
      <c r="W36" t="str">
        <f>IF(ISNUMBER(Games[[#This Row],[QuadRank]]),_xlfn.RANK.EQ(Games[[#This Row],[QuadSort]],Games[QuadSort],1),"")</f>
        <v/>
      </c>
      <c r="X36" s="5"/>
      <c r="Y36" s="5"/>
    </row>
    <row r="37" spans="2:25" x14ac:dyDescent="0.25">
      <c r="J37" s="7" t="str">
        <f t="shared" si="1"/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3">
        <v>55</v>
      </c>
      <c r="S37" s="15"/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55.0000012262797</v>
      </c>
      <c r="U37" cm="1">
        <f t="array" aca="1" ref="U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1.2262796983122825E-6</v>
      </c>
      <c r="V37">
        <f ca="1">_xlfn.RANK.EQ(Games[[#This Row],[Sort]],Games[Sort],1)</f>
        <v>55</v>
      </c>
      <c r="W37" t="str">
        <f>IF(ISNUMBER(Games[[#This Row],[QuadRank]]),_xlfn.RANK.EQ(Games[[#This Row],[QuadSort]],Games[QuadSort],1),"")</f>
        <v/>
      </c>
      <c r="X37" s="5"/>
      <c r="Y37" s="5"/>
    </row>
    <row r="38" spans="2:25" x14ac:dyDescent="0.25">
      <c r="J38" s="7" t="str">
        <f t="shared" si="1"/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3">
        <v>56</v>
      </c>
      <c r="S38" s="15"/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56.000001333579341</v>
      </c>
      <c r="U38" cm="1">
        <f t="array" aca="1" ref="U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1.3335793419447663E-6</v>
      </c>
      <c r="V38">
        <f ca="1">_xlfn.RANK.EQ(Games[[#This Row],[Sort]],Games[Sort],1)</f>
        <v>56</v>
      </c>
      <c r="W38" t="str">
        <f>IF(ISNUMBER(Games[[#This Row],[QuadRank]]),_xlfn.RANK.EQ(Games[[#This Row],[QuadSort]],Games[QuadSort],1),"")</f>
        <v/>
      </c>
      <c r="X38" s="5"/>
      <c r="Y38" s="5"/>
    </row>
    <row r="39" spans="2:25" x14ac:dyDescent="0.25">
      <c r="B39" s="12" t="b">
        <v>0</v>
      </c>
      <c r="C39" t="s">
        <v>28</v>
      </c>
      <c r="D39" s="13"/>
      <c r="E39" t="s">
        <v>29</v>
      </c>
      <c r="J39" s="7" t="str">
        <f t="shared" si="1"/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3">
        <v>54</v>
      </c>
      <c r="S39" s="15"/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54.000001442313291</v>
      </c>
      <c r="U39" cm="1">
        <f t="array" aca="1" ref="U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1.4423132931481895E-6</v>
      </c>
      <c r="V39">
        <f ca="1">_xlfn.RANK.EQ(Games[[#This Row],[Sort]],Games[Sort],1)</f>
        <v>54</v>
      </c>
      <c r="W39" t="str">
        <f>IF(ISNUMBER(Games[[#This Row],[QuadRank]]),_xlfn.RANK.EQ(Games[[#This Row],[QuadSort]],Games[QuadSort],1),"")</f>
        <v/>
      </c>
      <c r="X39" s="5" t="s">
        <v>55</v>
      </c>
      <c r="Y39" s="5"/>
    </row>
    <row r="40" spans="2:25" x14ac:dyDescent="0.25">
      <c r="B40" s="12" t="b">
        <v>0</v>
      </c>
      <c r="C40" t="s">
        <v>30</v>
      </c>
      <c r="D40" s="13"/>
      <c r="E40" t="s">
        <v>29</v>
      </c>
      <c r="J40" s="7" t="str">
        <f t="shared" si="1"/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3">
        <v>1</v>
      </c>
      <c r="S40" s="15"/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1.0000003317518205</v>
      </c>
      <c r="U40" cm="1">
        <f t="array" aca="1" ref="U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3.3175182043995757E-7</v>
      </c>
      <c r="V40">
        <f ca="1">_xlfn.RANK.EQ(Games[[#This Row],[Sort]],Games[Sort],1)</f>
        <v>1</v>
      </c>
      <c r="W40" t="str">
        <f>IF(ISNUMBER(Games[[#This Row],[QuadRank]]),_xlfn.RANK.EQ(Games[[#This Row],[QuadSort]],Games[QuadSort],1),"")</f>
        <v/>
      </c>
      <c r="X40" s="5" t="s">
        <v>52</v>
      </c>
      <c r="Y40" s="5"/>
    </row>
    <row r="41" spans="2:25" x14ac:dyDescent="0.25">
      <c r="B41" s="12" t="b">
        <v>0</v>
      </c>
      <c r="C41" t="s">
        <v>28</v>
      </c>
      <c r="D41" s="13"/>
      <c r="E41" t="s">
        <v>35</v>
      </c>
      <c r="J41" s="7" t="str">
        <f t="shared" si="1"/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3">
        <v>2</v>
      </c>
      <c r="S41" s="15"/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2.0000027334829129</v>
      </c>
      <c r="U41" cm="1">
        <f t="array" aca="1" ref="U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2.7334829128972472E-6</v>
      </c>
      <c r="V41">
        <f ca="1">_xlfn.RANK.EQ(Games[[#This Row],[Sort]],Games[Sort],1)</f>
        <v>2</v>
      </c>
      <c r="W41" t="str">
        <f>IF(ISNUMBER(Games[[#This Row],[QuadRank]]),_xlfn.RANK.EQ(Games[[#This Row],[QuadSort]],Games[QuadSort],1),"")</f>
        <v/>
      </c>
      <c r="X41" s="5"/>
      <c r="Y41" s="5"/>
    </row>
    <row r="42" spans="2:25" x14ac:dyDescent="0.25">
      <c r="B42" s="12" t="b">
        <v>0</v>
      </c>
      <c r="C42" t="s">
        <v>30</v>
      </c>
      <c r="D42" s="13"/>
      <c r="E42" t="s">
        <v>35</v>
      </c>
      <c r="J42" s="7" t="str">
        <f t="shared" si="1"/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3">
        <v>3</v>
      </c>
      <c r="S42" s="15"/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3.0000004283284882</v>
      </c>
      <c r="U42" cm="1">
        <f t="array" aca="1" ref="U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4.2832848832827725E-7</v>
      </c>
      <c r="V42">
        <f ca="1">_xlfn.RANK.EQ(Games[[#This Row],[Sort]],Games[Sort],1)</f>
        <v>3</v>
      </c>
      <c r="W42" t="str">
        <f>IF(ISNUMBER(Games[[#This Row],[QuadRank]]),_xlfn.RANK.EQ(Games[[#This Row],[QuadSort]],Games[QuadSort],1),"")</f>
        <v/>
      </c>
      <c r="X42" s="5"/>
      <c r="Y42" s="5"/>
    </row>
    <row r="43" spans="2:25" x14ac:dyDescent="0.25">
      <c r="B43" s="12" t="b">
        <v>0</v>
      </c>
      <c r="C43" t="s">
        <v>28</v>
      </c>
      <c r="D43" s="13"/>
      <c r="E43" t="s">
        <v>36</v>
      </c>
      <c r="J43" s="7" t="str">
        <f t="shared" si="1"/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3">
        <v>29</v>
      </c>
      <c r="S43" s="15"/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29.000001458751683</v>
      </c>
      <c r="U43" cm="1">
        <f t="array" aca="1" ref="U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1.4587516845395303E-6</v>
      </c>
      <c r="V43">
        <f ca="1">_xlfn.RANK.EQ(Games[[#This Row],[Sort]],Games[Sort],1)</f>
        <v>29</v>
      </c>
      <c r="W43" t="str">
        <f>IF(ISNUMBER(Games[[#This Row],[QuadRank]]),_xlfn.RANK.EQ(Games[[#This Row],[QuadSort]],Games[QuadSort],1),"")</f>
        <v/>
      </c>
      <c r="X43" s="5" t="s">
        <v>56</v>
      </c>
      <c r="Y43" s="5"/>
    </row>
    <row r="44" spans="2:25" x14ac:dyDescent="0.25">
      <c r="B44" s="12" t="b">
        <v>0</v>
      </c>
      <c r="C44" t="s">
        <v>30</v>
      </c>
      <c r="D44" s="13"/>
      <c r="E44" t="s">
        <v>36</v>
      </c>
      <c r="J44" s="7" t="str">
        <f t="shared" si="1"/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3">
        <v>30</v>
      </c>
      <c r="S44" s="15"/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30.00000112075675</v>
      </c>
      <c r="U44" cm="1">
        <f t="array" aca="1" ref="U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1.1207567495995596E-6</v>
      </c>
      <c r="V44">
        <f ca="1">_xlfn.RANK.EQ(Games[[#This Row],[Sort]],Games[Sort],1)</f>
        <v>30</v>
      </c>
      <c r="W44" t="str">
        <f>IF(ISNUMBER(Games[[#This Row],[QuadRank]]),_xlfn.RANK.EQ(Games[[#This Row],[QuadSort]],Games[QuadSort],1),"")</f>
        <v/>
      </c>
      <c r="X44" s="5" t="s">
        <v>56</v>
      </c>
      <c r="Y44" s="5"/>
    </row>
    <row r="45" spans="2:25" x14ac:dyDescent="0.25">
      <c r="B45" s="12" t="b">
        <v>0</v>
      </c>
      <c r="C45" t="s">
        <v>28</v>
      </c>
      <c r="D45" s="13"/>
      <c r="E45" t="s">
        <v>31</v>
      </c>
      <c r="J45" s="7" t="str">
        <f t="shared" si="1"/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3">
        <v>31</v>
      </c>
      <c r="S45" s="15"/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31.000000444766879</v>
      </c>
      <c r="U45" cm="1">
        <f t="array" aca="1" ref="U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4.4476687971961827E-7</v>
      </c>
      <c r="V45">
        <f ca="1">_xlfn.RANK.EQ(Games[[#This Row],[Sort]],Games[Sort],1)</f>
        <v>31</v>
      </c>
      <c r="W45" t="str">
        <f>IF(ISNUMBER(Games[[#This Row],[QuadRank]]),_xlfn.RANK.EQ(Games[[#This Row],[QuadSort]],Games[QuadSort],1),"")</f>
        <v/>
      </c>
      <c r="X45" s="5" t="s">
        <v>56</v>
      </c>
      <c r="Y45" s="5"/>
    </row>
    <row r="46" spans="2:25" x14ac:dyDescent="0.25">
      <c r="B46" s="12" t="b">
        <v>0</v>
      </c>
      <c r="C46" t="s">
        <v>30</v>
      </c>
      <c r="D46" s="13"/>
      <c r="E46" t="s">
        <v>31</v>
      </c>
      <c r="J46" s="7" t="str">
        <f t="shared" si="1"/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3">
        <v>32</v>
      </c>
      <c r="S46" s="15"/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32.000002520660324</v>
      </c>
      <c r="U46" cm="1">
        <f t="array" aca="1" ref="U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2.5206603205520405E-6</v>
      </c>
      <c r="V46">
        <f ca="1">_xlfn.RANK.EQ(Games[[#This Row],[Sort]],Games[Sort],1)</f>
        <v>32</v>
      </c>
      <c r="W46" t="str">
        <f>IF(ISNUMBER(Games[[#This Row],[QuadRank]]),_xlfn.RANK.EQ(Games[[#This Row],[QuadSort]],Games[QuadSort],1),"")</f>
        <v/>
      </c>
      <c r="X46" s="5" t="s">
        <v>52</v>
      </c>
      <c r="Y46" s="5"/>
    </row>
    <row r="47" spans="2:25" x14ac:dyDescent="0.25">
      <c r="B47" s="12" t="b">
        <v>0</v>
      </c>
      <c r="C47" t="s">
        <v>28</v>
      </c>
      <c r="D47" s="13"/>
      <c r="E47" t="s">
        <v>33</v>
      </c>
      <c r="J47" s="7" t="str">
        <f t="shared" si="1"/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3">
        <v>33</v>
      </c>
      <c r="S47" s="15"/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33.000000215505899</v>
      </c>
      <c r="U47" cm="1">
        <f t="array" aca="1" ref="U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2.1550589598307056E-7</v>
      </c>
      <c r="V47">
        <f ca="1">_xlfn.RANK.EQ(Games[[#This Row],[Sort]],Games[Sort],1)</f>
        <v>33</v>
      </c>
      <c r="W47" t="str">
        <f>IF(ISNUMBER(Games[[#This Row],[QuadRank]]),_xlfn.RANK.EQ(Games[[#This Row],[QuadSort]],Games[QuadSort],1),"")</f>
        <v/>
      </c>
      <c r="X47" s="5" t="s">
        <v>57</v>
      </c>
      <c r="Y47" s="5"/>
    </row>
    <row r="48" spans="2:25" x14ac:dyDescent="0.25">
      <c r="B48" s="12" t="b">
        <v>0</v>
      </c>
      <c r="C48" t="s">
        <v>30</v>
      </c>
      <c r="D48" s="13"/>
      <c r="E48" t="s">
        <v>33</v>
      </c>
      <c r="J48" s="7" t="str">
        <f t="shared" si="1"/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3">
        <v>4</v>
      </c>
      <c r="S48" s="15"/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4.0000014531267842</v>
      </c>
      <c r="U48" cm="1">
        <f t="array" aca="1" ref="U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1.4531267845161157E-6</v>
      </c>
      <c r="V48">
        <f ca="1">_xlfn.RANK.EQ(Games[[#This Row],[Sort]],Games[Sort],1)</f>
        <v>4</v>
      </c>
      <c r="W48" t="str">
        <f>IF(ISNUMBER(Games[[#This Row],[QuadRank]]),_xlfn.RANK.EQ(Games[[#This Row],[QuadSort]],Games[QuadSort],1),"")</f>
        <v/>
      </c>
      <c r="X48" s="5"/>
      <c r="Y48" s="5"/>
    </row>
    <row r="49" spans="2:25" x14ac:dyDescent="0.25">
      <c r="B49" s="12" t="b">
        <v>1</v>
      </c>
      <c r="C49" t="s">
        <v>28</v>
      </c>
      <c r="D49" s="13">
        <v>2</v>
      </c>
      <c r="E49" t="s">
        <v>34</v>
      </c>
      <c r="J49" s="7" t="str">
        <f t="shared" si="1"/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3">
        <v>34</v>
      </c>
      <c r="S49" s="15"/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34.000001419046413</v>
      </c>
      <c r="U49" cm="1">
        <f t="array" aca="1" ref="U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1.4190464159346198E-6</v>
      </c>
      <c r="V49">
        <f ca="1">_xlfn.RANK.EQ(Games[[#This Row],[Sort]],Games[Sort],1)</f>
        <v>34</v>
      </c>
      <c r="W49" t="str">
        <f>IF(ISNUMBER(Games[[#This Row],[QuadRank]]),_xlfn.RANK.EQ(Games[[#This Row],[QuadSort]],Games[QuadSort],1),"")</f>
        <v/>
      </c>
      <c r="X49" s="5" t="s">
        <v>52</v>
      </c>
      <c r="Y49" s="5"/>
    </row>
    <row r="50" spans="2:25" x14ac:dyDescent="0.25">
      <c r="B50" s="12" t="b">
        <v>0</v>
      </c>
      <c r="C50" t="s">
        <v>30</v>
      </c>
      <c r="D50" s="13"/>
      <c r="E50" t="s">
        <v>34</v>
      </c>
      <c r="J50" s="7" t="str">
        <f t="shared" si="1"/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3">
        <v>35</v>
      </c>
      <c r="S50" s="15"/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35.000001091720613</v>
      </c>
      <c r="U50" cm="1">
        <f t="array" aca="1" ref="U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1.0917206103466962E-6</v>
      </c>
      <c r="V50">
        <f ca="1">_xlfn.RANK.EQ(Games[[#This Row],[Sort]],Games[Sort],1)</f>
        <v>35</v>
      </c>
      <c r="W50" t="str">
        <f>IF(ISNUMBER(Games[[#This Row],[QuadRank]]),_xlfn.RANK.EQ(Games[[#This Row],[QuadSort]],Games[QuadSort],1),"")</f>
        <v/>
      </c>
      <c r="X50" s="5"/>
      <c r="Y50" s="5"/>
    </row>
    <row r="51" spans="2:25" x14ac:dyDescent="0.25">
      <c r="B51" s="12" t="b">
        <v>0</v>
      </c>
      <c r="C51" t="s">
        <v>30</v>
      </c>
      <c r="D51" s="13"/>
      <c r="E51" t="s">
        <v>32</v>
      </c>
      <c r="J51" s="7" t="str">
        <f t="shared" si="1"/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3">
        <v>36</v>
      </c>
      <c r="S51" s="15"/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36.000001515623083</v>
      </c>
      <c r="U51" cm="1">
        <f t="array" aca="1" ref="U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1.5156230838229394E-6</v>
      </c>
      <c r="V51">
        <f ca="1">_xlfn.RANK.EQ(Games[[#This Row],[Sort]],Games[Sort],1)</f>
        <v>36</v>
      </c>
      <c r="W51" t="str">
        <f>IF(ISNUMBER(Games[[#This Row],[QuadRank]]),_xlfn.RANK.EQ(Games[[#This Row],[QuadSort]],Games[QuadSort],1),"")</f>
        <v/>
      </c>
      <c r="X51" s="5" t="s">
        <v>58</v>
      </c>
      <c r="Y51" s="5"/>
    </row>
    <row r="52" spans="2:25" x14ac:dyDescent="0.25">
      <c r="B52" s="12" t="b">
        <v>0</v>
      </c>
      <c r="C52" t="s">
        <v>30</v>
      </c>
      <c r="D52" s="13"/>
      <c r="E52" t="s">
        <v>37</v>
      </c>
      <c r="J52" s="7" t="str">
        <f t="shared" si="1"/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3">
        <v>12</v>
      </c>
      <c r="S52" s="15"/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12.000000730899263</v>
      </c>
      <c r="U52" cm="1">
        <f t="array" aca="1" ref="U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7.308992627395751E-7</v>
      </c>
      <c r="V52">
        <f ca="1">_xlfn.RANK.EQ(Games[[#This Row],[Sort]],Games[Sort],1)</f>
        <v>12</v>
      </c>
      <c r="W52" t="str">
        <f>IF(ISNUMBER(Games[[#This Row],[QuadRank]]),_xlfn.RANK.EQ(Games[[#This Row],[QuadSort]],Games[QuadSort],1),"")</f>
        <v/>
      </c>
      <c r="X52" s="5"/>
      <c r="Y52" s="5"/>
    </row>
    <row r="53" spans="2:25" x14ac:dyDescent="0.25">
      <c r="J53" s="7" t="str">
        <f t="shared" si="1"/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3">
        <v>37</v>
      </c>
      <c r="S53" s="15"/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37.000000392904326</v>
      </c>
      <c r="U53" cm="1">
        <f t="array" aca="1" ref="U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3.9290432779960435E-7</v>
      </c>
      <c r="V53">
        <f ca="1">_xlfn.RANK.EQ(Games[[#This Row],[Sort]],Games[Sort],1)</f>
        <v>37</v>
      </c>
      <c r="W53" t="str">
        <f>IF(ISNUMBER(Games[[#This Row],[QuadRank]]),_xlfn.RANK.EQ(Games[[#This Row],[QuadSort]],Games[QuadSort],1),"")</f>
        <v/>
      </c>
      <c r="X53" s="5"/>
      <c r="Y53" s="5"/>
    </row>
    <row r="54" spans="2:25" x14ac:dyDescent="0.25">
      <c r="J54" s="7" t="str">
        <f t="shared" si="1"/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3">
        <v>13</v>
      </c>
      <c r="S54" s="15"/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13.000000827475931</v>
      </c>
      <c r="U54" cm="1">
        <f t="array" aca="1" ref="U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8.2747593062789478E-7</v>
      </c>
      <c r="V54">
        <f ca="1">_xlfn.RANK.EQ(Games[[#This Row],[Sort]],Games[Sort],1)</f>
        <v>13</v>
      </c>
      <c r="W54" t="str">
        <f>IF(ISNUMBER(Games[[#This Row],[QuadRank]]),_xlfn.RANK.EQ(Games[[#This Row],[QuadSort]],Games[QuadSort],1),"")</f>
        <v/>
      </c>
      <c r="X54" s="5"/>
      <c r="Y54" s="5"/>
    </row>
    <row r="55" spans="2:25" x14ac:dyDescent="0.25">
      <c r="J55" s="7" t="str">
        <f t="shared" si="1"/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3">
        <v>38</v>
      </c>
      <c r="S55" s="15"/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38.000002611863962</v>
      </c>
      <c r="U55" cm="1">
        <f t="array" aca="1" ref="U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2.6118639601420051E-6</v>
      </c>
      <c r="V55">
        <f ca="1">_xlfn.RANK.EQ(Games[[#This Row],[Sort]],Games[Sort],1)</f>
        <v>38</v>
      </c>
      <c r="W55" t="str">
        <f>IF(ISNUMBER(Games[[#This Row],[QuadRank]]),_xlfn.RANK.EQ(Games[[#This Row],[QuadSort]],Games[QuadSort],1),"")</f>
        <v/>
      </c>
      <c r="X55" s="5" t="s">
        <v>59</v>
      </c>
      <c r="Y55" s="5"/>
    </row>
    <row r="56" spans="2:25" x14ac:dyDescent="0.25">
      <c r="J56" s="7" t="str">
        <f t="shared" si="1"/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3">
        <v>39</v>
      </c>
      <c r="S56" s="15"/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39.000000306709538</v>
      </c>
      <c r="U56" cm="1">
        <f t="array" aca="1" ref="U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3.0670953557303508E-7</v>
      </c>
      <c r="V56">
        <f ca="1">_xlfn.RANK.EQ(Games[[#This Row],[Sort]],Games[Sort],1)</f>
        <v>39</v>
      </c>
      <c r="W56" t="str">
        <f>IF(ISNUMBER(Games[[#This Row],[QuadRank]]),_xlfn.RANK.EQ(Games[[#This Row],[QuadSort]],Games[QuadSort],1),"")</f>
        <v/>
      </c>
      <c r="X56" s="5" t="s">
        <v>60</v>
      </c>
      <c r="Y56" s="5"/>
    </row>
    <row r="57" spans="2:25" x14ac:dyDescent="0.25">
      <c r="J57" s="7" t="str">
        <f t="shared" si="1"/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3">
        <v>40</v>
      </c>
      <c r="S57" s="15"/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40.000002708440626</v>
      </c>
      <c r="U57" cm="1">
        <f t="array" aca="1" ref="U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2.7084406280303248E-6</v>
      </c>
      <c r="V57">
        <f ca="1">_xlfn.RANK.EQ(Games[[#This Row],[Sort]],Games[Sort],1)</f>
        <v>40</v>
      </c>
      <c r="W57" t="str">
        <f>IF(ISNUMBER(Games[[#This Row],[QuadRank]]),_xlfn.RANK.EQ(Games[[#This Row],[QuadSort]],Games[QuadSort],1),"")</f>
        <v/>
      </c>
      <c r="X57" s="5"/>
      <c r="Y57" s="5"/>
    </row>
    <row r="58" spans="2:25" x14ac:dyDescent="0.25">
      <c r="J58" s="7" t="str">
        <f t="shared" si="1"/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3">
        <v>41</v>
      </c>
      <c r="S58" s="15"/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41.000001585721868</v>
      </c>
      <c r="U58" cm="1">
        <f t="array" aca="1" ref="U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1.5857218720069896E-6</v>
      </c>
      <c r="V58">
        <f ca="1">_xlfn.RANK.EQ(Games[[#This Row],[Sort]],Games[Sort],1)</f>
        <v>41</v>
      </c>
      <c r="W58" t="str">
        <f>IF(ISNUMBER(Games[[#This Row],[QuadRank]]),_xlfn.RANK.EQ(Games[[#This Row],[QuadSort]],Games[QuadSort],1),"")</f>
        <v/>
      </c>
      <c r="X58" s="5"/>
      <c r="Y58" s="5"/>
    </row>
    <row r="59" spans="2:25" x14ac:dyDescent="0.25">
      <c r="J59" s="7" t="str">
        <f t="shared" si="1"/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3">
        <v>42</v>
      </c>
      <c r="S59" s="15"/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42.000001247726935</v>
      </c>
      <c r="U59" cm="1">
        <f t="array" aca="1" ref="U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1.2477269370670189E-6</v>
      </c>
      <c r="V59">
        <f ca="1">_xlfn.RANK.EQ(Games[[#This Row],[Sort]],Games[Sort],1)</f>
        <v>42</v>
      </c>
      <c r="W59" t="str">
        <f>IF(ISNUMBER(Games[[#This Row],[QuadRank]]),_xlfn.RANK.EQ(Games[[#This Row],[QuadSort]],Games[QuadSort],1),"")</f>
        <v/>
      </c>
      <c r="X59" s="5"/>
      <c r="Y59" s="5"/>
    </row>
    <row r="60" spans="2:25" x14ac:dyDescent="0.25">
      <c r="J60" s="7" t="str">
        <f t="shared" si="1"/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3">
        <v>43</v>
      </c>
      <c r="S60" s="15"/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43.000001801755467</v>
      </c>
      <c r="U60" cm="1">
        <f t="array" aca="1" ref="U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1.8017554668428963E-6</v>
      </c>
      <c r="V60">
        <f ca="1">_xlfn.RANK.EQ(Games[[#This Row],[Sort]],Games[Sort],1)</f>
        <v>43</v>
      </c>
      <c r="W60" t="str">
        <f>IF(ISNUMBER(Games[[#This Row],[QuadRank]]),_xlfn.RANK.EQ(Games[[#This Row],[QuadSort]],Games[QuadSort],1),"")</f>
        <v/>
      </c>
      <c r="X60" s="5"/>
      <c r="Y60" s="5"/>
    </row>
    <row r="61" spans="2:25" x14ac:dyDescent="0.25">
      <c r="J61" s="7" t="str">
        <f t="shared" si="1"/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3">
        <v>44</v>
      </c>
      <c r="S61" s="15"/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44.000000691193996</v>
      </c>
      <c r="U61" cm="1">
        <f t="array" aca="1" ref="U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6.9119399413466455E-7</v>
      </c>
      <c r="V61">
        <f ca="1">_xlfn.RANK.EQ(Games[[#This Row],[Sort]],Games[Sort],1)</f>
        <v>44</v>
      </c>
      <c r="W61" t="str">
        <f>IF(ISNUMBER(Games[[#This Row],[QuadRank]]),_xlfn.RANK.EQ(Games[[#This Row],[QuadSort]],Games[QuadSort],1),"")</f>
        <v/>
      </c>
      <c r="X61" s="5"/>
      <c r="Y61" s="5"/>
    </row>
    <row r="62" spans="2:25" x14ac:dyDescent="0.25">
      <c r="J62" s="7" t="str">
        <f t="shared" si="1"/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3">
        <v>45</v>
      </c>
      <c r="S62" s="15"/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45.000000986904396</v>
      </c>
      <c r="U62" cm="1">
        <f t="array" aca="1" ref="U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9.8690439640761247E-7</v>
      </c>
      <c r="V62">
        <f ca="1">_xlfn.RANK.EQ(Games[[#This Row],[Sort]],Games[Sort],1)</f>
        <v>45</v>
      </c>
      <c r="W62" t="str">
        <f>IF(ISNUMBER(Games[[#This Row],[QuadRank]]),_xlfn.RANK.EQ(Games[[#This Row],[QuadSort]],Games[QuadSort],1),"")</f>
        <v/>
      </c>
      <c r="X62" s="5" t="s">
        <v>27</v>
      </c>
      <c r="Y62" s="5"/>
    </row>
    <row r="63" spans="2:25" x14ac:dyDescent="0.25">
      <c r="J63" s="7" t="str">
        <f t="shared" si="1"/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3">
        <v>46</v>
      </c>
      <c r="S63" s="15"/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46.000000787770659</v>
      </c>
      <c r="U63" cm="1">
        <f t="array" aca="1" ref="U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7.8777066202298422E-7</v>
      </c>
      <c r="V63">
        <f ca="1">_xlfn.RANK.EQ(Games[[#This Row],[Sort]],Games[Sort],1)</f>
        <v>46</v>
      </c>
      <c r="W63" t="str">
        <f>IF(ISNUMBER(Games[[#This Row],[QuadRank]]),_xlfn.RANK.EQ(Games[[#This Row],[QuadSort]],Games[QuadSort],1),"")</f>
        <v/>
      </c>
      <c r="X63" s="5" t="s">
        <v>61</v>
      </c>
      <c r="Y63" s="5"/>
    </row>
    <row r="64" spans="2:25" x14ac:dyDescent="0.25">
      <c r="J64" s="7" t="str">
        <f t="shared" si="1"/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3">
        <v>5</v>
      </c>
      <c r="S64" s="15"/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5.0000018840115388</v>
      </c>
      <c r="U64" cm="1">
        <f t="array" aca="1" ref="U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1.8840115383420497E-6</v>
      </c>
      <c r="V64">
        <f ca="1">_xlfn.RANK.EQ(Games[[#This Row],[Sort]],Games[Sort],1)</f>
        <v>5</v>
      </c>
      <c r="W64" t="str">
        <f>IF(ISNUMBER(Games[[#This Row],[QuadRank]]),_xlfn.RANK.EQ(Games[[#This Row],[QuadSort]],Games[QuadSort],1),"")</f>
        <v/>
      </c>
      <c r="X64" s="5" t="s">
        <v>52</v>
      </c>
      <c r="Y64" s="5"/>
    </row>
    <row r="65" spans="10:25" x14ac:dyDescent="0.25">
      <c r="J65" s="7" t="str">
        <f t="shared" si="1"/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3">
        <v>6</v>
      </c>
      <c r="S65" s="15"/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6.0000018718542547</v>
      </c>
      <c r="U65" cm="1">
        <f t="array" aca="1" ref="U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1.8718542550269462E-6</v>
      </c>
      <c r="V65">
        <f ca="1">_xlfn.RANK.EQ(Games[[#This Row],[Sort]],Games[Sort],1)</f>
        <v>6</v>
      </c>
      <c r="W65" t="str">
        <f>IF(ISNUMBER(Games[[#This Row],[QuadRank]]),_xlfn.RANK.EQ(Games[[#This Row],[QuadSort]],Games[QuadSort],1),"")</f>
        <v/>
      </c>
      <c r="X65" s="5"/>
      <c r="Y65" s="5"/>
    </row>
    <row r="66" spans="10:25" x14ac:dyDescent="0.25">
      <c r="J66" s="7" t="str">
        <f t="shared" ref="J66:J82" si="2"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3">
        <v>7</v>
      </c>
      <c r="S66" s="15"/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7.0000019805882063</v>
      </c>
      <c r="U66" cm="1">
        <f t="array" aca="1" ref="U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1.9805882062303692E-6</v>
      </c>
      <c r="V66">
        <f ca="1">_xlfn.RANK.EQ(Games[[#This Row],[Sort]],Games[Sort],1)</f>
        <v>7</v>
      </c>
      <c r="W66" t="str">
        <f>IF(ISNUMBER(Games[[#This Row],[QuadRank]]),_xlfn.RANK.EQ(Games[[#This Row],[QuadSort]],Games[QuadSort],1),"")</f>
        <v/>
      </c>
      <c r="X66" s="5" t="s">
        <v>62</v>
      </c>
      <c r="Y66" s="5"/>
    </row>
    <row r="67" spans="10:25" x14ac:dyDescent="0.25">
      <c r="J67" s="7" t="str">
        <f t="shared" si="2"/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3">
        <v>47</v>
      </c>
      <c r="S67" s="15"/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47.000001195864385</v>
      </c>
      <c r="U67" cm="1">
        <f t="array" aca="1" ref="U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1.1958643851470048E-6</v>
      </c>
      <c r="V67">
        <f ca="1">_xlfn.RANK.EQ(Games[[#This Row],[Sort]],Games[Sort],1)</f>
        <v>47</v>
      </c>
      <c r="W67" t="str">
        <f>IF(ISNUMBER(Games[[#This Row],[QuadRank]]),_xlfn.RANK.EQ(Games[[#This Row],[QuadSort]],Games[QuadSort],1),"")</f>
        <v/>
      </c>
      <c r="X67" s="5" t="s">
        <v>63</v>
      </c>
      <c r="Y67" s="5"/>
    </row>
    <row r="68" spans="10:25" x14ac:dyDescent="0.25">
      <c r="J68" s="7" t="str">
        <f t="shared" si="2"/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3">
        <v>48</v>
      </c>
      <c r="S68" s="15"/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48.000000857869452</v>
      </c>
      <c r="U68" cm="1">
        <f t="array" aca="1" ref="U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8.5786945020703424E-7</v>
      </c>
      <c r="V68">
        <f ca="1">_xlfn.RANK.EQ(Games[[#This Row],[Sort]],Games[Sort],1)</f>
        <v>48</v>
      </c>
      <c r="W68" t="str">
        <f>IF(ISNUMBER(Games[[#This Row],[QuadRank]]),_xlfn.RANK.EQ(Games[[#This Row],[QuadSort]],Games[QuadSort],1),"")</f>
        <v/>
      </c>
      <c r="X68" s="5"/>
      <c r="Y68" s="5"/>
    </row>
    <row r="69" spans="10:25" x14ac:dyDescent="0.25">
      <c r="J69" s="7" t="str">
        <f t="shared" si="2"/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3">
        <v>49</v>
      </c>
      <c r="S69" s="15"/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49.000001411897983</v>
      </c>
      <c r="U69" cm="1">
        <f t="array" aca="1" ref="U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1.4118979799829118E-6</v>
      </c>
      <c r="V69">
        <f ca="1">_xlfn.RANK.EQ(Games[[#This Row],[Sort]],Games[Sort],1)</f>
        <v>49</v>
      </c>
      <c r="W69" t="str">
        <f>IF(ISNUMBER(Games[[#This Row],[QuadRank]]),_xlfn.RANK.EQ(Games[[#This Row],[QuadSort]],Games[QuadSort],1),"")</f>
        <v/>
      </c>
      <c r="X69" s="5"/>
      <c r="Y69" s="5"/>
    </row>
    <row r="70" spans="10:25" x14ac:dyDescent="0.25">
      <c r="J70" s="7" t="str">
        <f t="shared" si="2"/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3">
        <v>50</v>
      </c>
      <c r="S70" s="15"/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50.00000100093564</v>
      </c>
      <c r="U70" cm="1">
        <f t="array" aca="1" ref="U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1.0009356417170126E-6</v>
      </c>
      <c r="V70">
        <f ca="1">_xlfn.RANK.EQ(Games[[#This Row],[Sort]],Games[Sort],1)</f>
        <v>50</v>
      </c>
      <c r="W70" t="str">
        <f>IF(ISNUMBER(Games[[#This Row],[QuadRank]]),_xlfn.RANK.EQ(Games[[#This Row],[QuadSort]],Games[QuadSort],1),"")</f>
        <v/>
      </c>
      <c r="X70" s="5"/>
      <c r="Y70" s="5"/>
    </row>
    <row r="71" spans="10:25" x14ac:dyDescent="0.25">
      <c r="J71" s="7" t="str">
        <f t="shared" si="2"/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3">
        <v>51</v>
      </c>
      <c r="S71" s="15"/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51.000000337103053</v>
      </c>
      <c r="U71" cm="1">
        <f t="array" aca="1" ref="U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3.3710305515217454E-7</v>
      </c>
      <c r="V71">
        <f ca="1">_xlfn.RANK.EQ(Games[[#This Row],[Sort]],Games[Sort],1)</f>
        <v>51</v>
      </c>
      <c r="W71" t="str">
        <f>IF(ISNUMBER(Games[[#This Row],[QuadRank]]),_xlfn.RANK.EQ(Games[[#This Row],[QuadSort]],Games[QuadSort],1),"")</f>
        <v/>
      </c>
      <c r="X71" s="5" t="s">
        <v>64</v>
      </c>
      <c r="Y71" s="5"/>
    </row>
    <row r="72" spans="10:25" x14ac:dyDescent="0.25">
      <c r="J72" s="7" t="str">
        <f t="shared" si="2"/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3">
        <v>52</v>
      </c>
      <c r="S72" s="15"/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52.000000770240348</v>
      </c>
      <c r="U72" cm="1">
        <f t="array" aca="1" ref="U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7.7024035040952571E-7</v>
      </c>
      <c r="V72">
        <f ca="1">_xlfn.RANK.EQ(Games[[#This Row],[Sort]],Games[Sort],1)</f>
        <v>52</v>
      </c>
      <c r="W72" t="str">
        <f>IF(ISNUMBER(Games[[#This Row],[QuadRank]]),_xlfn.RANK.EQ(Games[[#This Row],[QuadSort]],Games[QuadSort],1),"")</f>
        <v/>
      </c>
      <c r="X72" s="5" t="s">
        <v>65</v>
      </c>
      <c r="Y72" s="5"/>
    </row>
    <row r="73" spans="10:25" x14ac:dyDescent="0.25">
      <c r="J73" s="7" t="str">
        <f t="shared" si="2"/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3">
        <v>53</v>
      </c>
      <c r="S73" s="15"/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53.000000878974305</v>
      </c>
      <c r="U73" cm="1">
        <f t="array" aca="1" ref="U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8.7897430161294875E-7</v>
      </c>
      <c r="V73">
        <f ca="1">_xlfn.RANK.EQ(Games[[#This Row],[Sort]],Games[Sort],1)</f>
        <v>53</v>
      </c>
      <c r="W73" t="str">
        <f>IF(ISNUMBER(Games[[#This Row],[QuadRank]]),_xlfn.RANK.EQ(Games[[#This Row],[QuadSort]],Games[QuadSort],1),"")</f>
        <v/>
      </c>
      <c r="X73" s="5" t="s">
        <v>66</v>
      </c>
      <c r="Y73" s="5"/>
    </row>
    <row r="74" spans="10:25" x14ac:dyDescent="0.25">
      <c r="J74" s="7" t="str">
        <f t="shared" si="2"/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3">
        <v>14</v>
      </c>
      <c r="S74" s="15"/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14.000002495981573</v>
      </c>
      <c r="U74" cm="1">
        <f t="array" aca="1" ref="U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2.4959815729868738E-6</v>
      </c>
      <c r="V74">
        <f ca="1">_xlfn.RANK.EQ(Games[[#This Row],[Sort]],Games[Sort],1)</f>
        <v>14</v>
      </c>
      <c r="W74" t="str">
        <f>IF(ISNUMBER(Games[[#This Row],[QuadRank]]),_xlfn.RANK.EQ(Games[[#This Row],[QuadSort]],Games[QuadSort],1),"")</f>
        <v/>
      </c>
      <c r="X74" s="5" t="s">
        <v>67</v>
      </c>
      <c r="Y74" s="5"/>
    </row>
    <row r="75" spans="10:25" x14ac:dyDescent="0.25">
      <c r="J75" s="7" t="str">
        <f t="shared" si="2"/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3">
        <v>15</v>
      </c>
      <c r="S75" s="15"/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15.000002157986637</v>
      </c>
      <c r="U75" cm="1">
        <f t="array" aca="1" ref="U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2.1579866380469031E-6</v>
      </c>
      <c r="V75">
        <f ca="1">_xlfn.RANK.EQ(Games[[#This Row],[Sort]],Games[Sort],1)</f>
        <v>15</v>
      </c>
      <c r="W75" t="str">
        <f>IF(ISNUMBER(Games[[#This Row],[QuadRank]]),_xlfn.RANK.EQ(Games[[#This Row],[QuadSort]],Games[QuadSort],1),"")</f>
        <v/>
      </c>
      <c r="X75" s="5" t="s">
        <v>67</v>
      </c>
      <c r="Y75" s="5"/>
    </row>
    <row r="76" spans="10:25" x14ac:dyDescent="0.25">
      <c r="J76" s="7" t="str">
        <f t="shared" si="2"/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3">
        <v>16</v>
      </c>
      <c r="S76" s="15"/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16.000002266720589</v>
      </c>
      <c r="U76" cm="1">
        <f t="array" aca="1" ref="U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2.2667205892503261E-6</v>
      </c>
      <c r="V76">
        <f ca="1">_xlfn.RANK.EQ(Games[[#This Row],[Sort]],Games[Sort],1)</f>
        <v>16</v>
      </c>
      <c r="W76" t="str">
        <f>IF(ISNUMBER(Games[[#This Row],[QuadRank]]),_xlfn.RANK.EQ(Games[[#This Row],[QuadSort]],Games[QuadSort],1),"")</f>
        <v/>
      </c>
      <c r="X76" s="5" t="s">
        <v>67</v>
      </c>
      <c r="Y76" s="5"/>
    </row>
    <row r="77" spans="10:25" x14ac:dyDescent="0.25">
      <c r="J77" s="7" t="str">
        <f t="shared" si="2"/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3">
        <v>27</v>
      </c>
      <c r="S77" s="15"/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27.00000094907309</v>
      </c>
      <c r="U77" cm="1">
        <f t="array" aca="1" ref="U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9.4907308979699876E-7</v>
      </c>
      <c r="V77">
        <f ca="1">_xlfn.RANK.EQ(Games[[#This Row],[Sort]],Games[Sort],1)</f>
        <v>27</v>
      </c>
      <c r="W77" t="str">
        <f>IF(ISNUMBER(Games[[#This Row],[QuadRank]]),_xlfn.RANK.EQ(Games[[#This Row],[QuadSort]],Games[QuadSort],1),"")</f>
        <v/>
      </c>
      <c r="X77" s="5"/>
      <c r="Y77" s="5"/>
    </row>
    <row r="78" spans="10:25" x14ac:dyDescent="0.25">
      <c r="J78" s="7" t="str">
        <f t="shared" si="2"/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3">
        <v>28</v>
      </c>
      <c r="S78" s="15"/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28.000000285240503</v>
      </c>
      <c r="U78" cm="1">
        <f t="array" aca="1" ref="U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2.8524050323216067E-7</v>
      </c>
      <c r="V78">
        <f ca="1">_xlfn.RANK.EQ(Games[[#This Row],[Sort]],Games[Sort],1)</f>
        <v>28</v>
      </c>
      <c r="W78" t="str">
        <f>IF(ISNUMBER(Games[[#This Row],[QuadRank]]),_xlfn.RANK.EQ(Games[[#This Row],[QuadSort]],Games[QuadSort],1),"")</f>
        <v/>
      </c>
      <c r="X78" s="5"/>
      <c r="Y78" s="5"/>
    </row>
    <row r="79" spans="10:25" x14ac:dyDescent="0.25">
      <c r="J79" s="7" t="str">
        <f t="shared" si="2"/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3">
        <v>8</v>
      </c>
      <c r="S79" s="15"/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8.00000027308322</v>
      </c>
      <c r="U79" cm="1">
        <f t="array" aca="1" ref="U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2.730832199170573E-7</v>
      </c>
      <c r="V79">
        <f ca="1">_xlfn.RANK.EQ(Games[[#This Row],[Sort]],Games[Sort],1)</f>
        <v>8</v>
      </c>
      <c r="W79" t="str">
        <f>IF(ISNUMBER(Games[[#This Row],[QuadRank]]),_xlfn.RANK.EQ(Games[[#This Row],[QuadSort]],Games[QuadSort],1),"")</f>
        <v/>
      </c>
      <c r="X79" s="5"/>
      <c r="Y79" s="5"/>
    </row>
    <row r="80" spans="10:25" x14ac:dyDescent="0.25">
      <c r="J80" s="7" t="str">
        <f t="shared" si="2"/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3">
        <v>9</v>
      </c>
      <c r="S80" s="15"/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9.0000000545452128</v>
      </c>
      <c r="U80" cm="1">
        <f t="array" aca="1" ref="U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5.4545211924673761E-8</v>
      </c>
      <c r="V80">
        <f ca="1">_xlfn.RANK.EQ(Games[[#This Row],[Sort]],Games[Sort],1)</f>
        <v>9</v>
      </c>
      <c r="W80" t="str">
        <f>IF(ISNUMBER(Games[[#This Row],[QuadRank]]),_xlfn.RANK.EQ(Games[[#This Row],[QuadSort]],Games[QuadSort],1),"")</f>
        <v/>
      </c>
      <c r="X80" s="5" t="s">
        <v>52</v>
      </c>
      <c r="Y80" s="5"/>
    </row>
    <row r="81" spans="10:25" x14ac:dyDescent="0.25">
      <c r="J81" s="7" t="str">
        <f t="shared" si="2"/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3">
        <v>10</v>
      </c>
      <c r="S81" s="15">
        <v>4</v>
      </c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10.000000042387928</v>
      </c>
      <c r="U81" cm="1">
        <f t="array" aca="1" ref="U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4.0000000423879287</v>
      </c>
      <c r="V81">
        <f ca="1">_xlfn.RANK.EQ(Games[[#This Row],[Sort]],Games[Sort],1)</f>
        <v>10</v>
      </c>
      <c r="W81">
        <f ca="1">IF(ISNUMBER(Games[[#This Row],[QuadRank]]),_xlfn.RANK.EQ(Games[[#This Row],[QuadSort]],Games[QuadSort],1),"")</f>
        <v>81</v>
      </c>
      <c r="X81" s="5" t="s">
        <v>68</v>
      </c>
      <c r="Y81" s="5"/>
    </row>
    <row r="82" spans="10:25" x14ac:dyDescent="0.25">
      <c r="J82" s="7" t="str">
        <f t="shared" si="2"/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3">
        <v>11</v>
      </c>
      <c r="S82" s="15"/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11.000002467915831</v>
      </c>
      <c r="U82" cm="1">
        <f t="array" aca="1" ref="U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2.4679158316695525E-6</v>
      </c>
      <c r="V82">
        <f ca="1">_xlfn.RANK.EQ(Games[[#This Row],[Sort]],Games[Sort],1)</f>
        <v>11</v>
      </c>
      <c r="W82" t="str">
        <f>IF(ISNUMBER(Games[[#This Row],[QuadRank]]),_xlfn.RANK.EQ(Games[[#This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2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3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4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5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7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8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Tom Grandine</cp:lastModifiedBy>
  <cp:revision/>
  <dcterms:created xsi:type="dcterms:W3CDTF">2004-01-21T05:17:22Z</dcterms:created>
  <dcterms:modified xsi:type="dcterms:W3CDTF">2026-09-24T23:58:05Z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