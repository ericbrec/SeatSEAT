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homa\Github\SeatSEAT\examples\Mariners 2026\"/>
    </mc:Choice>
  </mc:AlternateContent>
  <xr:revisionPtr revIDLastSave="0" documentId="8_{5F11D201-DD13-4433-88FE-70F16B61A16F}" xr6:coauthVersionLast="47" xr6:coauthVersionMax="47" xr10:uidLastSave="{00000000-0000-0000-0000-000000000000}"/>
  <bookViews>
    <workbookView xWindow="18680" yWindow="490" windowWidth="19540" windowHeight="1537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W63" i="1" l="1"/>
  <c r="W39" i="1"/>
  <c r="W15" i="1"/>
  <c r="W62" i="1"/>
  <c r="W38" i="1"/>
  <c r="W48" i="1"/>
  <c r="W36" i="1"/>
  <c r="W59" i="1"/>
  <c r="W11" i="1"/>
  <c r="W60" i="1"/>
  <c r="W35" i="1"/>
  <c r="W78" i="1"/>
  <c r="W54" i="1"/>
  <c r="W2" i="1"/>
  <c r="W55" i="1"/>
  <c r="W71" i="1"/>
  <c r="W75" i="1"/>
  <c r="W50" i="1"/>
  <c r="W13" i="1"/>
  <c r="W51" i="1"/>
  <c r="W37" i="1"/>
  <c r="W27" i="1"/>
  <c r="W67" i="1"/>
  <c r="W61" i="1"/>
  <c r="W12" i="1"/>
  <c r="W26" i="1"/>
  <c r="W66" i="1"/>
  <c r="W42" i="1"/>
  <c r="W18" i="1"/>
  <c r="W70" i="1"/>
  <c r="W65" i="1"/>
  <c r="W41" i="1"/>
  <c r="W17" i="1"/>
  <c r="W74" i="1"/>
  <c r="W64" i="1"/>
  <c r="W40" i="1"/>
  <c r="W16" i="1"/>
  <c r="W22" i="1"/>
  <c r="W72" i="1"/>
  <c r="W69" i="1"/>
  <c r="W45" i="1"/>
  <c r="W21" i="1"/>
  <c r="W43" i="1"/>
  <c r="W44" i="1"/>
  <c r="W46" i="1"/>
  <c r="W14" i="1"/>
  <c r="W47" i="1"/>
  <c r="W68" i="1"/>
  <c r="W20" i="1"/>
  <c r="W76" i="1"/>
  <c r="W52" i="1"/>
  <c r="W4" i="1"/>
  <c r="W49" i="1"/>
  <c r="W19" i="1"/>
  <c r="W23" i="1"/>
  <c r="W82" i="1"/>
  <c r="W58" i="1"/>
  <c r="W34" i="1"/>
  <c r="W10" i="1"/>
  <c r="W33" i="1"/>
  <c r="W56" i="1"/>
  <c r="W80" i="1"/>
  <c r="W32" i="1"/>
  <c r="W8" i="1"/>
  <c r="W79" i="1"/>
  <c r="W31" i="1"/>
  <c r="W7" i="1"/>
  <c r="W30" i="1"/>
  <c r="W6" i="1"/>
  <c r="W81" i="1"/>
  <c r="W57" i="1"/>
  <c r="W9" i="1"/>
  <c r="W77" i="1"/>
  <c r="W29" i="1"/>
  <c r="W3" i="1"/>
  <c r="W53" i="1"/>
  <c r="W5" i="1"/>
  <c r="W24" i="1"/>
  <c r="W28" i="1"/>
  <c r="W73" i="1"/>
  <c r="W25" i="1"/>
  <c r="Q79" i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<sst xmlns="http://schemas.openxmlformats.org/spreadsheetml/2006/main" count="283" uniqueCount="109">
  <si>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</si>
  <si>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</si>
  <si>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</si>
  <si>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</si>
  <si>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</si>
  <si>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</si>
  <si>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</si>
  <si>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</si>
  <si>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</si>
  <si>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</si>
  <si>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</si>
  <si>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</si>
  <si>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</si>
  <si>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</si>
  <si>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</si>
  <si>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</si>
  <si>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</si>
  <si>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</si>
  <si>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</si>
  <si>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</si>
  <si>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</si>
  <si>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</si>
  <si>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</si>
  <si>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</si>
  <si>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</si>
  <si>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</si>
  <si>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</si>
  <si>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</si>
  <si>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</si>
  <si>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</si>
  <si>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</si>
  <si>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</si>
  <si>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</si>
  <si>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</si>
  <si>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</si>
  <si>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</si>
  <si>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</si>
  <si>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</si>
  <si>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</si>
  <si>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</si>
  <si>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</si>
  <si>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</si>
  <si>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</si>
  <si>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</si>
  <si>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</si>
  <si>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</si>
  <si>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</si>
  <si>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</si>
  <si>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</si>
  <si>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</si>
  <si>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</si>
  <si>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</si>
  <si>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</si>
  <si>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</si>
  <si>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</si>
  <si>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</si>
  <si>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</si>
  <si>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</si>
  <si>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</si>
  <si>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</si>
  <si>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</si>
  <si>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</si>
  <si>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</si>
  <si>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</si>
  <si>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</si>
  <si>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</si>
  <si>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</si>
  <si>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</si>
  <si>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</si>
  <si>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</si>
  <si>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</si>
  <si>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</si>
  <si>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</si>
  <si>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</si>
  <si>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</si>
  <si>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</si>
  <si>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</si>
  <si>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</si>
  <si>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</si>
  <si>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</si>
  <si>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</si>
  <si>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</si>
  <si>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</si>
  <si>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</si>
  <si>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</si>
  <si>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</si>
  <si>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</si>
  <si>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</si>
  <si>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</si>
  <si>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</si>
  <si>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</si>
  <si>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</si>
  <si>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</si>
  <si>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</si>
  <si>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</si>
  <si>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</si>
  <si>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</si>
  <si>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</si>
  <si>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</si>
  <si>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Andrew Erisman</t>
  </si>
  <si>
    <t>Cole Graves</t>
  </si>
  <si>
    <t>Fritz Klein</t>
  </si>
  <si>
    <t>Jordan Bork</t>
  </si>
  <si>
    <t>Karen Boehmer</t>
  </si>
  <si>
    <t>Michael Erisman</t>
  </si>
  <si>
    <t>Michael Jones</t>
  </si>
  <si>
    <t>Michael Rochester</t>
  </si>
  <si>
    <t>Mike Neff</t>
  </si>
  <si>
    <t>Ryan Falls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</si>
</sst>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3" fillId="0" borderId="0"/>
    <xf numFmtId="44" fontId="8" fillId="0" borderId="0" applyFont="0" applyFill="0" applyBorder="0" applyAlignment="0" applyProtection="0"/>
    <xf numFmtId="0" fontId="2" fillId="0" borderId="0"/>
    <xf numFmtId="44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5">
    <xf numFmtId="0" fontId="0" fillId="0" borderId="0" xfId="0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9" fillId="0" borderId="0" xfId="0" applyFont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66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/>
    <xf numFmtId="0" fontId="12" fillId="0" borderId="0" xfId="0" applyFont="1"/>
    <xf numFmtId="168" fontId="0" fillId="0" borderId="0" xfId="0" applyNumberFormat="1"/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1" fillId="2" borderId="0" xfId="7" applyFill="1" applyAlignment="1">
      <alignment vertical="center"/>
    </xf>
  </cellXfs>
  <cellStyles count="11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2 2" xfId="7" xr:uid="{0F7789E6-4FAA-4C8B-92B2-B3B733C2C0BF}"/>
    <cellStyle name="Normal 3" xfId="2" xr:uid="{00000000-0005-0000-0000-000004000000}"/>
    <cellStyle name="Normal 3 2" xfId="8" xr:uid="{5AD683E2-5E94-49B9-A6C9-79385C40E806}"/>
    <cellStyle name="Normal 4" xfId="3" xr:uid="{00000000-0005-0000-0000-000005000000}"/>
    <cellStyle name="Normal 4 2" xfId="9" xr:uid="{84669797-DF92-44E5-883E-C945486EC958}"/>
    <cellStyle name="Normal 5" xfId="5" xr:uid="{AF0439D6-8192-4E89-93DB-F527DA4E9322}"/>
    <cellStyle name="Normal 5 2" xfId="10" xr:uid="{30BD7CB5-D31A-4A5B-8285-959200621B5F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8" activePane="bottomLeft" state="frozen"/>
      <selection pane="bottomLeft" activeCell="E45" sqref="E45"/>
    </sheetView>
  </sheetViews>
  <sheetFormatPr defaultRowHeight="12.5" x14ac:dyDescent="0.25"/>
  <cols>
    <col min="1" max="1" width="4.26953125" customWidth="1"/>
    <col min="2" max="2" width="4" customWidth="1"/>
    <col min="3" max="3" width="7.453125" customWidth="1"/>
    <col min="4" max="4" width="2.81640625" customWidth="1"/>
    <col min="5" max="5" width="6.453125" customWidth="1"/>
    <col min="6" max="6" width="3.1796875" customWidth="1"/>
    <col min="7" max="8" width="4.26953125" customWidth="1"/>
    <col min="9" max="9" width="18.453125" customWidth="1"/>
    <col min="10" max="10" width="7.81640625" style="4" bestFit="1" customWidth="1"/>
    <col min="11" max="11" width="8.7265625" style="4" bestFit="1" customWidth="1"/>
    <col min="12" max="12" width="9.1796875" style="4" bestFit="1" customWidth="1"/>
    <col min="13" max="13" width="14.7265625" style="2" bestFit="1" customWidth="1"/>
    <col min="14" max="14" width="6.1796875" customWidth="1"/>
    <col min="15" max="16" width="7.26953125" hidden="1" customWidth="1"/>
    <col min="17" max="17" width="10" bestFit="1" customWidth="1"/>
    <col min="18" max="18" width="7.1796875" customWidth="1"/>
    <col min="19" max="19" width="15.81640625" customWidth="1"/>
    <col min="20" max="20" width="15.81640625" hidden="1" customWidth="1"/>
    <col min="21" max="21" width="9.1796875" hidden="1" customWidth="1"/>
    <col min="22" max="22" width="10.1796875" bestFit="1" customWidth="1"/>
    <col min="23" max="23" width="7.26953125" customWidth="1"/>
    <col min="24" max="24" width="88.54296875" bestFit="1" customWidth="1"/>
    <col min="25" max="25" width="22.7265625" customWidth="1"/>
    <col min="26" max="26" width="3" customWidth="1"/>
    <col min="27" max="27" width="14" bestFit="1" customWidth="1"/>
    <col min="28" max="28" width="7.1796875" customWidth="1"/>
    <col min="29" max="29" width="8.1796875" customWidth="1"/>
    <col min="30" max="30" width="10.26953125" bestFit="1" customWidth="1"/>
    <col min="32" max="32" width="11" bestFit="1" customWidth="1"/>
  </cols>
  <sheetData>
    <row r="1" spans="1:31" s="1" customFormat="1" ht="31" x14ac:dyDescent="0.3">
      <c r="B1"/>
      <c r="C1"/>
      <c r="D1"/>
      <c r="E1"/>
      <c r="F1"/>
      <c r="G1"/>
      <c r="J1" s="15" t="s">
        <v>2</v>
      </c>
      <c r="K1" s="16" t="s">
        <v>0</v>
      </c>
      <c r="L1" s="17" t="s">
        <v>1</v>
      </c>
      <c r="M1" s="15" t="s">
        <v>4</v>
      </c>
      <c r="N1" s="17" t="s">
        <v>86</v>
      </c>
      <c r="O1" s="17" t="s">
        <v>88</v>
      </c>
      <c r="P1" s="17" t="s">
        <v>95</v>
      </c>
      <c r="Q1" s="17" t="s">
        <v>96</v>
      </c>
      <c r="R1" s="18" t="s">
        <v>3</v>
      </c>
      <c r="S1" s="18" t="s">
        <v>87</v>
      </c>
      <c r="T1" s="17" t="s">
        <v>75</v>
      </c>
      <c r="U1" s="17" t="s">
        <v>94</v>
      </c>
      <c r="V1" s="17" t="s">
        <v>89</v>
      </c>
      <c r="W1" s="17" t="s">
        <v>90</v>
      </c>
      <c r="X1" s="15" t="s">
        <v>92</v>
      </c>
      <c r="Y1" s="15" t="s">
        <v>93</v>
      </c>
      <c r="AA1" s="15" t="s">
        <v>91</v>
      </c>
      <c r="AB1" s="15" t="s">
        <v>76</v>
      </c>
      <c r="AC1" s="15" t="s">
        <v>77</v>
      </c>
      <c r="AD1" s="15" t="s">
        <v>82</v>
      </c>
      <c r="AE1" s="15" t="s">
        <v>83</v>
      </c>
    </row>
    <row r="2" spans="1:31" x14ac:dyDescent="0.25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4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22">
        <v>50</v>
      </c>
      <c r="S2" s="23">
        <v>58</v>
      </c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50.000002599747532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58.000002599747532</v>
      </c>
      <c r="V2">
        <f ca="1">_xlfn.RANK.EQ(Games[[#This Row],[Sort]],Games[Sort],1)</f>
        <v>50</v>
      </c>
      <c r="W2">
        <f ca="1">IF(ISNUMBER(Games[[#This Row],[QuadRank]]),_xlfn.RANK.EQ(Games[[#This Row],[QuadSort]],Games[QuadSort],1),"")</f>
        <v>58</v>
      </c>
      <c r="X2" s="5" t="s">
        <v>38</v>
      </c>
      <c r="Y2" s="5"/>
      <c r="AA2" s="19" t="s">
        <v>79</v>
      </c>
      <c r="AB2" s="20">
        <v>14</v>
      </c>
      <c r="AC2" s="20">
        <v>1</v>
      </c>
      <c r="AD2">
        <f>Names[[#This Row],[Pairs]]+Names[[#This Row],[Quads]]</f>
        <v>15</v>
      </c>
      <c r="AE2">
        <f>Names[[#This Row],[Pairs]]*2 + Names[[#This Row],[Quads]]*4</f>
        <v>32</v>
      </c>
    </row>
    <row r="3" spans="1:31" x14ac:dyDescent="0.25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4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22">
        <v>49</v>
      </c>
      <c r="S3" s="23">
        <v>49</v>
      </c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49.000000280913888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49.000000280913888</v>
      </c>
      <c r="V3">
        <f ca="1">_xlfn.RANK.EQ(Games[[#This Row],[Sort]],Games[Sort],1)</f>
        <v>49</v>
      </c>
      <c r="W3">
        <f ca="1">IF(ISNUMBER(Games[[#This Row],[QuadRank]]),_xlfn.RANK.EQ(Games[[#This Row],[QuadSort]],Games[QuadSort],1),"")</f>
        <v>49</v>
      </c>
      <c r="X3" s="5" t="s">
        <v>39</v>
      </c>
      <c r="Y3" s="5"/>
      <c r="AA3" s="19" t="s">
        <v>99</v>
      </c>
      <c r="AB3" s="20">
        <v>0</v>
      </c>
      <c r="AC3" s="20">
        <v>9</v>
      </c>
      <c r="AD3">
        <f>Names[[#This Row],[Pairs]]+Names[[#This Row],[Quads]]</f>
        <v>9</v>
      </c>
      <c r="AE3">
        <f>Names[[#This Row],[Pairs]]*2 + Names[[#This Row],[Quads]]*4</f>
        <v>36</v>
      </c>
    </row>
    <row r="4" spans="1:31" x14ac:dyDescent="0.25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4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22">
        <v>1</v>
      </c>
      <c r="S4" s="23">
        <v>1</v>
      </c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1.0000010058987809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1.0000010058987809</v>
      </c>
      <c r="V4">
        <f ca="1">_xlfn.RANK.EQ(Games[[#This Row],[Sort]],Games[Sort],1)</f>
        <v>1</v>
      </c>
      <c r="W4">
        <f ca="1">IF(ISNUMBER(Games[[#This Row],[QuadRank]]),_xlfn.RANK.EQ(Games[[#This Row],[QuadSort]],Games[QuadSort],1),"")</f>
        <v>1</v>
      </c>
      <c r="X4" s="5" t="s">
        <v>40</v>
      </c>
      <c r="Y4" s="5"/>
      <c r="AA4" s="19" t="s">
        <v>100</v>
      </c>
      <c r="AB4" s="20">
        <v>5</v>
      </c>
      <c r="AC4" s="20">
        <v>3</v>
      </c>
      <c r="AD4">
        <f>Names[[#This Row],[Pairs]]+Names[[#This Row],[Quads]]</f>
        <v>8</v>
      </c>
      <c r="AE4">
        <f>Names[[#This Row],[Pairs]]*2 + Names[[#This Row],[Quads]]*4</f>
        <v>22</v>
      </c>
    </row>
    <row r="5" spans="1:31" x14ac:dyDescent="0.25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4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22">
        <v>48</v>
      </c>
      <c r="S5" s="23">
        <v>48</v>
      </c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48.000000311218301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48.000000311218301</v>
      </c>
      <c r="V5">
        <f ca="1">_xlfn.RANK.EQ(Games[[#This Row],[Sort]],Games[Sort],1)</f>
        <v>48</v>
      </c>
      <c r="W5">
        <f ca="1">IF(ISNUMBER(Games[[#This Row],[QuadRank]]),_xlfn.RANK.EQ(Games[[#This Row],[QuadSort]],Games[QuadSort],1),"")</f>
        <v>48</v>
      </c>
      <c r="X5" s="5"/>
      <c r="Y5" s="5"/>
      <c r="AA5" t="s">
        <v>80</v>
      </c>
      <c r="AB5">
        <v>22</v>
      </c>
      <c r="AC5">
        <v>0</v>
      </c>
      <c r="AD5">
        <f>Names[[#This Row],[Pairs]]+Names[[#This Row],[Quads]]</f>
        <v>22</v>
      </c>
      <c r="AE5">
        <f>Names[[#This Row],[Pairs]]*2 + Names[[#This Row],[Quads]]*4</f>
        <v>44</v>
      </c>
    </row>
    <row r="6" spans="1:31" ht="13" x14ac:dyDescent="0.3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4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22">
        <v>56</v>
      </c>
      <c r="S6" s="23">
        <v>56</v>
      </c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56.000001517986142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56.000001517986142</v>
      </c>
      <c r="V6">
        <f ca="1">_xlfn.RANK.EQ(Games[[#This Row],[Sort]],Games[Sort],1)</f>
        <v>56</v>
      </c>
      <c r="W6">
        <f ca="1">IF(ISNUMBER(Games[[#This Row],[QuadRank]]),_xlfn.RANK.EQ(Games[[#This Row],[QuadSort]],Games[QuadSort],1),"")</f>
        <v>55</v>
      </c>
      <c r="X6" s="5"/>
      <c r="Y6" s="5"/>
      <c r="AA6" t="s">
        <v>101</v>
      </c>
      <c r="AB6">
        <v>8</v>
      </c>
      <c r="AC6">
        <v>2</v>
      </c>
      <c r="AD6">
        <f>Names[[#This Row],[Pairs]]+Names[[#This Row],[Quads]]</f>
        <v>10</v>
      </c>
      <c r="AE6">
        <f>Names[[#This Row],[Pairs]]*2 + Names[[#This Row],[Quads]]*4</f>
        <v>24</v>
      </c>
    </row>
    <row r="7" spans="1:31" x14ac:dyDescent="0.25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4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22">
        <v>10</v>
      </c>
      <c r="S7" s="23">
        <v>10</v>
      </c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10.0000019768258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10.0000019768258</v>
      </c>
      <c r="V7">
        <f ca="1">_xlfn.RANK.EQ(Games[[#This Row],[Sort]],Games[Sort],1)</f>
        <v>10</v>
      </c>
      <c r="W7">
        <f ca="1">IF(ISNUMBER(Games[[#This Row],[QuadRank]]),_xlfn.RANK.EQ(Games[[#This Row],[QuadSort]],Games[QuadSort],1),"")</f>
        <v>10</v>
      </c>
      <c r="X7" s="5"/>
      <c r="Y7" s="5"/>
      <c r="AA7" t="s">
        <v>102</v>
      </c>
      <c r="AB7">
        <v>6</v>
      </c>
      <c r="AC7">
        <v>3</v>
      </c>
      <c r="AD7">
        <f>Names[[#This Row],[Pairs]]+Names[[#This Row],[Quads]]</f>
        <v>9</v>
      </c>
      <c r="AE7">
        <f>Names[[#This Row],[Pairs]]*2 + Names[[#This Row],[Quads]]*4</f>
        <v>24</v>
      </c>
    </row>
    <row r="8" spans="1:31" x14ac:dyDescent="0.25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4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22">
        <v>57</v>
      </c>
      <c r="S8" s="23">
        <v>57</v>
      </c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57.000000952616197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57.000000952616197</v>
      </c>
      <c r="V8">
        <f ca="1">_xlfn.RANK.EQ(Games[[#This Row],[Sort]],Games[Sort],1)</f>
        <v>57</v>
      </c>
      <c r="W8">
        <f ca="1">IF(ISNUMBER(Games[[#This Row],[QuadRank]]),_xlfn.RANK.EQ(Games[[#This Row],[QuadSort]],Games[QuadSort],1),"")</f>
        <v>56</v>
      </c>
      <c r="X8" s="5"/>
      <c r="Y8" s="5"/>
      <c r="AA8" t="s">
        <v>103</v>
      </c>
      <c r="AB8">
        <v>1</v>
      </c>
      <c r="AC8">
        <v>4</v>
      </c>
      <c r="AD8">
        <f>Names[[#This Row],[Pairs]]+Names[[#This Row],[Quads]]</f>
        <v>5</v>
      </c>
      <c r="AE8">
        <f>Names[[#This Row],[Pairs]]*2 + Names[[#This Row],[Quads]]*4</f>
        <v>18</v>
      </c>
    </row>
    <row r="9" spans="1:31" x14ac:dyDescent="0.25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4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22">
        <v>80</v>
      </c>
      <c r="S9" s="23">
        <v>80</v>
      </c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80.000000680178374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80.000000680178374</v>
      </c>
      <c r="V9">
        <f ca="1">_xlfn.RANK.EQ(Games[[#This Row],[Sort]],Games[Sort],1)</f>
        <v>80</v>
      </c>
      <c r="W9">
        <f ca="1">IF(ISNUMBER(Games[[#This Row],[QuadRank]]),_xlfn.RANK.EQ(Games[[#This Row],[QuadSort]],Games[QuadSort],1),"")</f>
        <v>80</v>
      </c>
      <c r="X9" s="5" t="s">
        <v>41</v>
      </c>
      <c r="Y9" s="5"/>
      <c r="AA9" t="s">
        <v>104</v>
      </c>
      <c r="AB9">
        <v>6</v>
      </c>
      <c r="AC9">
        <v>2</v>
      </c>
      <c r="AD9">
        <f>Names[[#This Row],[Pairs]]+Names[[#This Row],[Quads]]</f>
        <v>8</v>
      </c>
      <c r="AE9">
        <f>Names[[#This Row],[Pairs]]*2 + Names[[#This Row],[Quads]]*4</f>
        <v>20</v>
      </c>
    </row>
    <row r="10" spans="1:31" x14ac:dyDescent="0.25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4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22">
        <v>81</v>
      </c>
      <c r="S10" s="23">
        <v>81</v>
      </c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81.000001139018039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81.000001139018039</v>
      </c>
      <c r="V10">
        <f ca="1">_xlfn.RANK.EQ(Games[[#This Row],[Sort]],Games[Sort],1)</f>
        <v>81</v>
      </c>
      <c r="W10">
        <f ca="1">IF(ISNUMBER(Games[[#This Row],[QuadRank]]),_xlfn.RANK.EQ(Games[[#This Row],[QuadSort]],Games[QuadSort],1),"")</f>
        <v>81</v>
      </c>
      <c r="X10" s="5" t="s">
        <v>42</v>
      </c>
      <c r="Y10" s="5"/>
      <c r="AA10" t="s">
        <v>105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5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4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22">
        <v>47</v>
      </c>
      <c r="S11" s="23">
        <v>47</v>
      </c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47.000000114808437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47.000000114808437</v>
      </c>
      <c r="V11">
        <f ca="1">_xlfn.RANK.EQ(Games[[#This Row],[Sort]],Games[Sort],1)</f>
        <v>47</v>
      </c>
      <c r="W11">
        <f ca="1">IF(ISNUMBER(Games[[#This Row],[QuadRank]]),_xlfn.RANK.EQ(Games[[#This Row],[QuadSort]],Games[QuadSort],1),"")</f>
        <v>47</v>
      </c>
      <c r="X11" s="5"/>
      <c r="Y11" s="5"/>
      <c r="AA11" t="s">
        <v>106</v>
      </c>
      <c r="AB11">
        <v>5</v>
      </c>
      <c r="AC11">
        <v>0</v>
      </c>
      <c r="AD11">
        <f>Names[[#This Row],[Pairs]]+Names[[#This Row],[Quads]]</f>
        <v>5</v>
      </c>
      <c r="AE11">
        <f>Names[[#This Row],[Pairs]]*2 + Names[[#This Row],[Quads]]*4</f>
        <v>10</v>
      </c>
    </row>
    <row r="12" spans="1:31" x14ac:dyDescent="0.25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4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22">
        <v>55</v>
      </c>
      <c r="S12" s="23">
        <v>55</v>
      </c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55.000000573648094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55.000000573648094</v>
      </c>
      <c r="V12">
        <f ca="1">_xlfn.RANK.EQ(Games[[#This Row],[Sort]],Games[Sort],1)</f>
        <v>55</v>
      </c>
      <c r="W12">
        <f ca="1">IF(ISNUMBER(Games[[#This Row],[QuadRank]]),_xlfn.RANK.EQ(Games[[#This Row],[QuadSort]],Games[QuadSort],1),"")</f>
        <v>54</v>
      </c>
      <c r="X12" s="5"/>
      <c r="Y12" s="5"/>
      <c r="AA12" t="s">
        <v>107</v>
      </c>
      <c r="AB12">
        <v>7</v>
      </c>
      <c r="AC12">
        <v>4</v>
      </c>
      <c r="AD12">
        <f>Names[[#This Row],[Pairs]]+Names[[#This Row],[Quads]]</f>
        <v>11</v>
      </c>
      <c r="AE12">
        <f>Names[[#This Row],[Pairs]]*2 + Names[[#This Row],[Quads]]*4</f>
        <v>30</v>
      </c>
    </row>
    <row r="13" spans="1:31" x14ac:dyDescent="0.25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4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22">
        <v>46</v>
      </c>
      <c r="S13" s="23">
        <v>46</v>
      </c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46.000001152329965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46.000001152329965</v>
      </c>
      <c r="V13">
        <f ca="1">_xlfn.RANK.EQ(Games[[#This Row],[Sort]],Games[Sort],1)</f>
        <v>46</v>
      </c>
      <c r="W13">
        <f ca="1">IF(ISNUMBER(Games[[#This Row],[QuadRank]]),_xlfn.RANK.EQ(Games[[#This Row],[QuadSort]],Games[QuadSort],1),"")</f>
        <v>46</v>
      </c>
      <c r="X13" s="5" t="s">
        <v>43</v>
      </c>
      <c r="Y13" s="5"/>
      <c r="AA13" t="s">
        <v>108</v>
      </c>
      <c r="AB13">
        <v>5</v>
      </c>
      <c r="AC13">
        <v>3</v>
      </c>
      <c r="AD13">
        <f>Names[[#This Row],[Pairs]]+Names[[#This Row],[Quads]]</f>
        <v>8</v>
      </c>
      <c r="AE13">
        <f>Names[[#This Row],[Pairs]]*2 + Names[[#This Row],[Quads]]*4</f>
        <v>22</v>
      </c>
    </row>
    <row r="14" spans="1:31" x14ac:dyDescent="0.25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4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22">
        <v>25</v>
      </c>
      <c r="S14" s="23">
        <v>25</v>
      </c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25.000000899437044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25.000000899437044</v>
      </c>
      <c r="V14">
        <f ca="1">_xlfn.RANK.EQ(Games[[#This Row],[Sort]],Games[Sort],1)</f>
        <v>25</v>
      </c>
      <c r="W14">
        <f ca="1">IF(ISNUMBER(Games[[#This Row],[QuadRank]]),_xlfn.RANK.EQ(Games[[#This Row],[QuadSort]],Games[QuadSort],1),"")</f>
        <v>25</v>
      </c>
      <c r="X14" s="5" t="s">
        <v>44</v>
      </c>
      <c r="Y14" s="5"/>
      <c r="AA14" t="s">
        <v>78</v>
      </c>
      <c r="AB14">
        <v>11</v>
      </c>
      <c r="AC14">
        <v>3</v>
      </c>
      <c r="AD14">
        <f>Names[[#This Row],[Pairs]]+Names[[#This Row],[Quads]]</f>
        <v>14</v>
      </c>
      <c r="AE14">
        <f>Names[[#This Row],[Pairs]]*2 + Names[[#This Row],[Quads]]*4</f>
        <v>34</v>
      </c>
    </row>
    <row r="15" spans="1:31" x14ac:dyDescent="0.25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4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22">
        <v>54</v>
      </c>
      <c r="S15" s="23">
        <v>54</v>
      </c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54.000000181368065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54.000000181368065</v>
      </c>
      <c r="V15">
        <f ca="1">_xlfn.RANK.EQ(Games[[#This Row],[Sort]],Games[Sort],1)</f>
        <v>54</v>
      </c>
      <c r="W15">
        <f ca="1">IF(ISNUMBER(Games[[#This Row],[QuadRank]]),_xlfn.RANK.EQ(Games[[#This Row],[QuadSort]],Games[QuadSort],1),"")</f>
        <v>53</v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5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4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22">
        <v>53</v>
      </c>
      <c r="S16" s="23">
        <v>53</v>
      </c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53.000002123256984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53.000002123256984</v>
      </c>
      <c r="V16">
        <f ca="1">_xlfn.RANK.EQ(Games[[#This Row],[Sort]],Games[Sort],1)</f>
        <v>53</v>
      </c>
      <c r="W16">
        <f ca="1">IF(ISNUMBER(Games[[#This Row],[QuadRank]]),_xlfn.RANK.EQ(Games[[#This Row],[QuadSort]],Games[QuadSort],1),"")</f>
        <v>52</v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5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4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22">
        <v>52</v>
      </c>
      <c r="S17" s="23">
        <v>52</v>
      </c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52.000002582096641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52.000002582096641</v>
      </c>
      <c r="V17">
        <f ca="1">_xlfn.RANK.EQ(Games[[#This Row],[Sort]],Games[Sort],1)</f>
        <v>52</v>
      </c>
      <c r="W17">
        <f ca="1">IF(ISNUMBER(Games[[#This Row],[QuadRank]]),_xlfn.RANK.EQ(Games[[#This Row],[QuadSort]],Games[QuadSort],1),"")</f>
        <v>51</v>
      </c>
      <c r="X17" s="5"/>
      <c r="Y17" s="5"/>
      <c r="AA17" t="s">
        <v>81</v>
      </c>
      <c r="AB17">
        <f>SUBTOTAL(109,Names[Pairs])</f>
        <v>94</v>
      </c>
      <c r="AC17">
        <f>SUBTOTAL(109,Names[Quads])</f>
        <v>34</v>
      </c>
      <c r="AD17">
        <f>SUBTOTAL(109,Names[Games])</f>
        <v>128</v>
      </c>
      <c r="AE17">
        <f>SUBTOTAL(109,Names[Tickets])</f>
        <v>324</v>
      </c>
    </row>
    <row r="18" spans="2:32" ht="13" x14ac:dyDescent="0.3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4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22">
        <v>51</v>
      </c>
      <c r="S18" s="23">
        <v>51</v>
      </c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51.000001557887039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51.000001557887039</v>
      </c>
      <c r="V18">
        <f ca="1">_xlfn.RANK.EQ(Games[[#This Row],[Sort]],Games[Sort],1)</f>
        <v>51</v>
      </c>
      <c r="W18">
        <f ca="1">IF(ISNUMBER(Games[[#This Row],[QuadRank]]),_xlfn.RANK.EQ(Games[[#This Row],[QuadSort]],Games[QuadSort],1),"")</f>
        <v>50</v>
      </c>
      <c r="X18" s="5"/>
      <c r="Y18" s="5"/>
      <c r="AC18" t="s">
        <v>85</v>
      </c>
      <c r="AE18" s="1">
        <f>SUM(Games[GamePairs]) - Names[[#Totals],[Tickets]]/2</f>
        <v>0</v>
      </c>
    </row>
    <row r="19" spans="2:32" x14ac:dyDescent="0.25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4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22">
        <v>63</v>
      </c>
      <c r="S19" s="23">
        <v>63</v>
      </c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63.000001030385654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63.000001030385654</v>
      </c>
      <c r="V19">
        <f ca="1">_xlfn.RANK.EQ(Games[[#This Row],[Sort]],Games[Sort],1)</f>
        <v>63</v>
      </c>
      <c r="W19">
        <f ca="1">IF(ISNUMBER(Games[[#This Row],[QuadRank]]),_xlfn.RANK.EQ(Games[[#This Row],[QuadSort]],Games[QuadSort],1),"")</f>
        <v>63</v>
      </c>
      <c r="X19" s="5" t="s">
        <v>46</v>
      </c>
      <c r="Y19" s="5"/>
      <c r="AC19" s="3" t="s">
        <v>97</v>
      </c>
      <c r="AE19">
        <f>COUNTIF(Games[GamePairs],"&gt;1")-Names[[#Totals],[Quads]]</f>
        <v>47</v>
      </c>
    </row>
    <row r="20" spans="2:32" x14ac:dyDescent="0.25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4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22">
        <v>62</v>
      </c>
      <c r="S20" s="23">
        <v>62</v>
      </c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62.000001744288873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62.000001744288873</v>
      </c>
      <c r="V20">
        <f ca="1">_xlfn.RANK.EQ(Games[[#This Row],[Sort]],Games[Sort],1)</f>
        <v>62</v>
      </c>
      <c r="W20">
        <f ca="1">IF(ISNUMBER(Games[[#This Row],[QuadRank]]),_xlfn.RANK.EQ(Games[[#This Row],[QuadSort]],Games[QuadSort],1),"")</f>
        <v>62</v>
      </c>
      <c r="X20" s="5" t="s">
        <v>47</v>
      </c>
      <c r="Y20" s="5"/>
    </row>
    <row r="21" spans="2:32" x14ac:dyDescent="0.25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4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22">
        <v>61</v>
      </c>
      <c r="S21" s="23">
        <v>61</v>
      </c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61.000000720079278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61.000000720079278</v>
      </c>
      <c r="V21">
        <f ca="1">_xlfn.RANK.EQ(Games[[#This Row],[Sort]],Games[Sort],1)</f>
        <v>61</v>
      </c>
      <c r="W21">
        <f ca="1">IF(ISNUMBER(Games[[#This Row],[QuadRank]]),_xlfn.RANK.EQ(Games[[#This Row],[QuadSort]],Games[QuadSort],1),"")</f>
        <v>61</v>
      </c>
      <c r="X21" s="5" t="s">
        <v>48</v>
      </c>
      <c r="Y21" s="5"/>
    </row>
    <row r="22" spans="2:32" x14ac:dyDescent="0.25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4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22">
        <v>60</v>
      </c>
      <c r="S22" s="23">
        <v>60</v>
      </c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60.000002661968196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60.000002661968196</v>
      </c>
      <c r="V22">
        <f ca="1">_xlfn.RANK.EQ(Games[[#This Row],[Sort]],Games[Sort],1)</f>
        <v>60</v>
      </c>
      <c r="W22">
        <f ca="1">IF(ISNUMBER(Games[[#This Row],[QuadRank]]),_xlfn.RANK.EQ(Games[[#This Row],[QuadSort]],Games[QuadSort],1),"")</f>
        <v>60</v>
      </c>
      <c r="X22" s="5"/>
      <c r="Y22" s="5"/>
    </row>
    <row r="23" spans="2:32" x14ac:dyDescent="0.25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4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22">
        <v>59</v>
      </c>
      <c r="S23" s="23">
        <v>59</v>
      </c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59.000000381081826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59.000000381081826</v>
      </c>
      <c r="V23">
        <f ca="1">_xlfn.RANK.EQ(Games[[#This Row],[Sort]],Games[Sort],1)</f>
        <v>59</v>
      </c>
      <c r="W23">
        <f ca="1">IF(ISNUMBER(Games[[#This Row],[QuadRank]]),_xlfn.RANK.EQ(Games[[#This Row],[QuadSort]],Games[QuadSort],1),"")</f>
        <v>59</v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5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4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22">
        <v>58</v>
      </c>
      <c r="S24" s="23">
        <v>58</v>
      </c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58.000002096598251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58.000002096598251</v>
      </c>
      <c r="V24">
        <f ca="1">_xlfn.RANK.EQ(Games[[#This Row],[Sort]],Games[Sort],1)</f>
        <v>58</v>
      </c>
      <c r="W24">
        <f ca="1">IF(ISNUMBER(Games[[#This Row],[QuadRank]]),_xlfn.RANK.EQ(Games[[#This Row],[QuadSort]],Games[QuadSort],1),"")</f>
        <v>57</v>
      </c>
      <c r="X24" s="5"/>
      <c r="Y24" s="5"/>
      <c r="AA24" s="3" t="s">
        <v>69</v>
      </c>
      <c r="AB24" s="14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1">
        <f>Types[[#This Row],[Tickets]]*Types[[#This Row],[Price]]</f>
        <v>7920</v>
      </c>
    </row>
    <row r="25" spans="2:32" x14ac:dyDescent="0.25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4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22">
        <v>27</v>
      </c>
      <c r="S25" s="23">
        <v>27</v>
      </c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27.000001824160432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27.000001824160432</v>
      </c>
      <c r="V25">
        <f ca="1">_xlfn.RANK.EQ(Games[[#This Row],[Sort]],Games[Sort],1)</f>
        <v>27</v>
      </c>
      <c r="W25">
        <f ca="1">IF(ISNUMBER(Games[[#This Row],[QuadRank]]),_xlfn.RANK.EQ(Games[[#This Row],[QuadSort]],Games[QuadSort],1),"")</f>
        <v>27</v>
      </c>
      <c r="X25" s="5" t="s">
        <v>49</v>
      </c>
      <c r="Y25" s="5"/>
      <c r="AA25" s="3" t="s">
        <v>70</v>
      </c>
      <c r="AB25" s="14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1">
        <f>Types[[#This Row],[Tickets]]*Types[[#This Row],[Price]]</f>
        <v>8004</v>
      </c>
    </row>
    <row r="26" spans="2:32" x14ac:dyDescent="0.25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4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22">
        <v>28</v>
      </c>
      <c r="S26" s="23">
        <v>28</v>
      </c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28.000001976859469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28.000001976859469</v>
      </c>
      <c r="V26">
        <f ca="1">_xlfn.RANK.EQ(Games[[#This Row],[Sort]],Games[Sort],1)</f>
        <v>28</v>
      </c>
      <c r="W26">
        <f ca="1">IF(ISNUMBER(Games[[#This Row],[QuadRank]]),_xlfn.RANK.EQ(Games[[#This Row],[QuadSort]],Games[QuadSort],1),"")</f>
        <v>28</v>
      </c>
      <c r="X26" s="5" t="s">
        <v>50</v>
      </c>
      <c r="Y26" s="5"/>
      <c r="AA26" s="3" t="s">
        <v>72</v>
      </c>
      <c r="AB26" s="14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1">
        <f>Types[[#This Row],[Tickets]]*Types[[#This Row],[Price]]</f>
        <v>4332</v>
      </c>
    </row>
    <row r="27" spans="2:32" x14ac:dyDescent="0.25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4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22">
        <v>32</v>
      </c>
      <c r="S27" s="23">
        <v>32</v>
      </c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32.000001993911567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32.000001993911567</v>
      </c>
      <c r="V27">
        <f ca="1">_xlfn.RANK.EQ(Games[[#This Row],[Sort]],Games[Sort],1)</f>
        <v>32</v>
      </c>
      <c r="W27">
        <f ca="1">IF(ISNUMBER(Games[[#This Row],[QuadRank]]),_xlfn.RANK.EQ(Games[[#This Row],[QuadSort]],Games[QuadSort],1),"")</f>
        <v>32</v>
      </c>
      <c r="X27" s="5"/>
      <c r="Y27" s="5"/>
      <c r="AA27" s="3" t="s">
        <v>71</v>
      </c>
      <c r="AB27" s="14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1">
        <f>Types[[#This Row],[Tickets]]*Types[[#This Row],[Price]]</f>
        <v>1980</v>
      </c>
    </row>
    <row r="28" spans="2:32" x14ac:dyDescent="0.25">
      <c r="B28" s="12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4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22">
        <v>45</v>
      </c>
      <c r="S28" s="23">
        <v>45</v>
      </c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45.000000055361426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45.000000055361426</v>
      </c>
      <c r="V28">
        <f ca="1">_xlfn.RANK.EQ(Games[[#This Row],[Sort]],Games[Sort],1)</f>
        <v>45</v>
      </c>
      <c r="W28">
        <f ca="1">IF(ISNUMBER(Games[[#This Row],[QuadRank]]),_xlfn.RANK.EQ(Games[[#This Row],[QuadSort]],Games[QuadSort],1),"")</f>
        <v>45</v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1">
        <f>SUBTOTAL(109,Types[Cost])</f>
        <v>22236</v>
      </c>
    </row>
    <row r="29" spans="2:32" x14ac:dyDescent="0.25">
      <c r="B29" s="12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4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22">
        <v>43</v>
      </c>
      <c r="S29" s="23">
        <v>43</v>
      </c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43.000000514201083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43.000000514201083</v>
      </c>
      <c r="V29">
        <f ca="1">_xlfn.RANK.EQ(Games[[#This Row],[Sort]],Games[Sort],1)</f>
        <v>43</v>
      </c>
      <c r="W29">
        <f ca="1">IF(ISNUMBER(Games[[#This Row],[QuadRank]]),_xlfn.RANK.EQ(Games[[#This Row],[QuadSort]],Games[QuadSort],1),"")</f>
        <v>43</v>
      </c>
      <c r="X29" s="5" t="s">
        <v>51</v>
      </c>
      <c r="Y29" s="5"/>
    </row>
    <row r="30" spans="2:32" x14ac:dyDescent="0.25">
      <c r="B30" s="12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4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22">
        <v>44</v>
      </c>
      <c r="S30" s="23">
        <v>44</v>
      </c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44.000002229717509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44.000002229717509</v>
      </c>
      <c r="V30">
        <f ca="1">_xlfn.RANK.EQ(Games[[#This Row],[Sort]],Games[Sort],1)</f>
        <v>44</v>
      </c>
      <c r="W30">
        <f ca="1">IF(ISNUMBER(Games[[#This Row],[QuadRank]]),_xlfn.RANK.EQ(Games[[#This Row],[QuadSort]],Games[QuadSort],1),"")</f>
        <v>44</v>
      </c>
      <c r="X30" s="5"/>
      <c r="Y30" s="5"/>
    </row>
    <row r="31" spans="2:32" x14ac:dyDescent="0.25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4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22">
        <v>14</v>
      </c>
      <c r="S31" s="23">
        <v>14</v>
      </c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14.000001729081729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14.000001729081729</v>
      </c>
      <c r="V31">
        <f ca="1">_xlfn.RANK.EQ(Games[[#This Row],[Sort]],Games[Sort],1)</f>
        <v>14</v>
      </c>
      <c r="W31">
        <f ca="1">IF(ISNUMBER(Games[[#This Row],[QuadRank]]),_xlfn.RANK.EQ(Games[[#This Row],[QuadSort]],Games[QuadSort],1),"")</f>
        <v>14</v>
      </c>
      <c r="X31" s="5" t="s">
        <v>52</v>
      </c>
      <c r="Y31" s="5"/>
    </row>
    <row r="32" spans="2:32" x14ac:dyDescent="0.25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4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22">
        <v>42</v>
      </c>
      <c r="S32" s="23">
        <v>42</v>
      </c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42.000002187921389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42.000002187921389</v>
      </c>
      <c r="V32">
        <f ca="1">_xlfn.RANK.EQ(Games[[#This Row],[Sort]],Games[Sort],1)</f>
        <v>42</v>
      </c>
      <c r="W32">
        <f ca="1">IF(ISNUMBER(Games[[#This Row],[QuadRank]]),_xlfn.RANK.EQ(Games[[#This Row],[QuadSort]],Games[QuadSort],1),"")</f>
        <v>42</v>
      </c>
      <c r="X32" s="5" t="s">
        <v>53</v>
      </c>
      <c r="Y32" s="5"/>
    </row>
    <row r="33" spans="2:25" x14ac:dyDescent="0.25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4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22">
        <v>41</v>
      </c>
      <c r="S33" s="23">
        <v>41</v>
      </c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41.000001391909741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41.000001391909741</v>
      </c>
      <c r="V33">
        <f ca="1">_xlfn.RANK.EQ(Games[[#This Row],[Sort]],Games[Sort],1)</f>
        <v>41</v>
      </c>
      <c r="W33">
        <f ca="1">IF(ISNUMBER(Games[[#This Row],[QuadRank]]),_xlfn.RANK.EQ(Games[[#This Row],[QuadSort]],Games[QuadSort],1),"")</f>
        <v>41</v>
      </c>
      <c r="X33" s="5" t="s">
        <v>54</v>
      </c>
      <c r="Y33" s="5"/>
    </row>
    <row r="34" spans="2:25" x14ac:dyDescent="0.25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4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22">
        <v>40</v>
      </c>
      <c r="S34" s="23">
        <v>40</v>
      </c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40.000000594072631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40.000000594072631</v>
      </c>
      <c r="V34">
        <f ca="1">_xlfn.RANK.EQ(Games[[#This Row],[Sort]],Games[Sort],1)</f>
        <v>40</v>
      </c>
      <c r="W34">
        <f ca="1">IF(ISNUMBER(Games[[#This Row],[QuadRank]]),_xlfn.RANK.EQ(Games[[#This Row],[QuadSort]],Games[QuadSort],1),"")</f>
        <v>40</v>
      </c>
      <c r="X34" s="5"/>
      <c r="Y34" s="5"/>
    </row>
    <row r="35" spans="2:25" x14ac:dyDescent="0.25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4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22">
        <v>17</v>
      </c>
      <c r="S35" s="23">
        <v>17</v>
      </c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17.000001052912292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17.000001052912292</v>
      </c>
      <c r="V35">
        <f ca="1">_xlfn.RANK.EQ(Games[[#This Row],[Sort]],Games[Sort],1)</f>
        <v>17</v>
      </c>
      <c r="W35">
        <f ca="1">IF(ISNUMBER(Games[[#This Row],[QuadRank]]),_xlfn.RANK.EQ(Games[[#This Row],[QuadSort]],Games[QuadSort],1),"")</f>
        <v>17</v>
      </c>
      <c r="X35" s="5"/>
      <c r="Y35" s="5"/>
    </row>
    <row r="36" spans="2:25" x14ac:dyDescent="0.25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4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22">
        <v>39</v>
      </c>
      <c r="S36" s="23">
        <v>39</v>
      </c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39.000000256900648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39.000000256900648</v>
      </c>
      <c r="V36">
        <f ca="1">_xlfn.RANK.EQ(Games[[#This Row],[Sort]],Games[Sort],1)</f>
        <v>39</v>
      </c>
      <c r="W36">
        <f ca="1">IF(ISNUMBER(Games[[#This Row],[QuadRank]]),_xlfn.RANK.EQ(Games[[#This Row],[QuadSort]],Games[QuadSort],1),"")</f>
        <v>39</v>
      </c>
      <c r="X36" s="5"/>
      <c r="Y36" s="5"/>
    </row>
    <row r="37" spans="2:25" x14ac:dyDescent="0.25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4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22">
        <v>38</v>
      </c>
      <c r="S37" s="23">
        <v>38</v>
      </c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38.000001591623509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38.000001591623509</v>
      </c>
      <c r="V37">
        <f ca="1">_xlfn.RANK.EQ(Games[[#This Row],[Sort]],Games[Sort],1)</f>
        <v>38</v>
      </c>
      <c r="W37">
        <f ca="1">IF(ISNUMBER(Games[[#This Row],[QuadRank]]),_xlfn.RANK.EQ(Games[[#This Row],[QuadSort]],Games[QuadSort],1),"")</f>
        <v>38</v>
      </c>
      <c r="X37" s="5"/>
      <c r="Y37" s="5"/>
    </row>
    <row r="38" spans="2:25" x14ac:dyDescent="0.25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4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22">
        <v>70</v>
      </c>
      <c r="S38" s="23">
        <v>70</v>
      </c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70.000001644871205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70.000001644871205</v>
      </c>
      <c r="V38">
        <f ca="1">_xlfn.RANK.EQ(Games[[#This Row],[Sort]],Games[Sort],1)</f>
        <v>70</v>
      </c>
      <c r="W38">
        <f ca="1">IF(ISNUMBER(Games[[#This Row],[QuadRank]]),_xlfn.RANK.EQ(Games[[#This Row],[QuadSort]],Games[QuadSort],1),"")</f>
        <v>70</v>
      </c>
      <c r="X38" s="5"/>
      <c r="Y38" s="5"/>
    </row>
    <row r="39" spans="2:25" x14ac:dyDescent="0.25">
      <c r="B39" s="12" t="b">
        <v>0</v>
      </c>
      <c r="C39" t="s">
        <v>28</v>
      </c>
      <c r="D39" s="13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4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22">
        <v>71</v>
      </c>
      <c r="S39" s="23">
        <v>71</v>
      </c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71.000000620661609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71.000000620661609</v>
      </c>
      <c r="V39">
        <f ca="1">_xlfn.RANK.EQ(Games[[#This Row],[Sort]],Games[Sort],1)</f>
        <v>71</v>
      </c>
      <c r="W39">
        <f ca="1">IF(ISNUMBER(Games[[#This Row],[QuadRank]]),_xlfn.RANK.EQ(Games[[#This Row],[QuadSort]],Games[QuadSort],1),"")</f>
        <v>71</v>
      </c>
      <c r="X39" s="5" t="s">
        <v>55</v>
      </c>
      <c r="Y39" s="5"/>
    </row>
    <row r="40" spans="2:25" x14ac:dyDescent="0.25">
      <c r="B40" s="12" t="b">
        <v>0</v>
      </c>
      <c r="C40" t="s">
        <v>30</v>
      </c>
      <c r="D40" s="13">
        <v>2</v>
      </c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4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22">
        <v>72</v>
      </c>
      <c r="S40" s="23">
        <v>72</v>
      </c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72.000002334352573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72.000002334352573</v>
      </c>
      <c r="V40">
        <f ca="1">_xlfn.RANK.EQ(Games[[#This Row],[Sort]],Games[Sort],1)</f>
        <v>72</v>
      </c>
      <c r="W40">
        <f ca="1">IF(ISNUMBER(Games[[#This Row],[QuadRank]]),_xlfn.RANK.EQ(Games[[#This Row],[QuadSort]],Games[QuadSort],1),"")</f>
        <v>72</v>
      </c>
      <c r="X40" s="5" t="s">
        <v>52</v>
      </c>
      <c r="Y40" s="5"/>
    </row>
    <row r="41" spans="2:25" x14ac:dyDescent="0.25">
      <c r="B41" s="12" t="b">
        <v>0</v>
      </c>
      <c r="C41" t="s">
        <v>28</v>
      </c>
      <c r="D41" s="13">
        <v>1</v>
      </c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4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22">
        <v>73</v>
      </c>
      <c r="S41" s="23">
        <v>73</v>
      </c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73.000000053466195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73.000000053466195</v>
      </c>
      <c r="V41">
        <f ca="1">_xlfn.RANK.EQ(Games[[#This Row],[Sort]],Games[Sort],1)</f>
        <v>73</v>
      </c>
      <c r="W41">
        <f ca="1">IF(ISNUMBER(Games[[#This Row],[QuadRank]]),_xlfn.RANK.EQ(Games[[#This Row],[QuadSort]],Games[QuadSort],1),"")</f>
        <v>73</v>
      </c>
      <c r="X41" s="5"/>
      <c r="Y41" s="5"/>
    </row>
    <row r="42" spans="2:25" x14ac:dyDescent="0.25">
      <c r="B42" s="12" t="b">
        <v>0</v>
      </c>
      <c r="C42" t="s">
        <v>30</v>
      </c>
      <c r="D42" s="13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4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22">
        <v>74</v>
      </c>
      <c r="S42" s="23">
        <v>74</v>
      </c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74.00000199718059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74.00000199718059</v>
      </c>
      <c r="V42">
        <f ca="1">_xlfn.RANK.EQ(Games[[#This Row],[Sort]],Games[Sort],1)</f>
        <v>74</v>
      </c>
      <c r="W42">
        <f ca="1">IF(ISNUMBER(Games[[#This Row],[QuadRank]]),_xlfn.RANK.EQ(Games[[#This Row],[QuadSort]],Games[QuadSort],1),"")</f>
        <v>74</v>
      </c>
      <c r="X42" s="5"/>
      <c r="Y42" s="5"/>
    </row>
    <row r="43" spans="2:25" x14ac:dyDescent="0.25">
      <c r="B43" s="12" t="b">
        <v>0</v>
      </c>
      <c r="C43" t="s">
        <v>28</v>
      </c>
      <c r="D43" s="13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4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22">
        <v>75</v>
      </c>
      <c r="S43" s="23">
        <v>75</v>
      </c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75.000001579998667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75.000001579998667</v>
      </c>
      <c r="V43">
        <f ca="1">_xlfn.RANK.EQ(Games[[#This Row],[Sort]],Games[Sort],1)</f>
        <v>75</v>
      </c>
      <c r="W43">
        <f ca="1">IF(ISNUMBER(Games[[#This Row],[QuadRank]]),_xlfn.RANK.EQ(Games[[#This Row],[QuadSort]],Games[QuadSort],1),"")</f>
        <v>75</v>
      </c>
      <c r="X43" s="5" t="s">
        <v>56</v>
      </c>
      <c r="Y43" s="5"/>
    </row>
    <row r="44" spans="2:25" x14ac:dyDescent="0.25">
      <c r="B44" s="12" t="b">
        <v>0</v>
      </c>
      <c r="C44" t="s">
        <v>30</v>
      </c>
      <c r="D44" s="13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4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22">
        <v>76</v>
      </c>
      <c r="S44" s="23">
        <v>76</v>
      </c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76.000002038838332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76.000002038838332</v>
      </c>
      <c r="V44">
        <f ca="1">_xlfn.RANK.EQ(Games[[#This Row],[Sort]],Games[Sort],1)</f>
        <v>76</v>
      </c>
      <c r="W44">
        <f ca="1">IF(ISNUMBER(Games[[#This Row],[QuadRank]]),_xlfn.RANK.EQ(Games[[#This Row],[QuadSort]],Games[QuadSort],1),"")</f>
        <v>76</v>
      </c>
      <c r="X44" s="5" t="s">
        <v>56</v>
      </c>
      <c r="Y44" s="5"/>
    </row>
    <row r="45" spans="2:25" x14ac:dyDescent="0.25">
      <c r="B45" s="12" t="b">
        <v>0</v>
      </c>
      <c r="C45" t="s">
        <v>28</v>
      </c>
      <c r="D45" s="13">
        <v>10</v>
      </c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4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22">
        <v>77</v>
      </c>
      <c r="S45" s="23">
        <v>77</v>
      </c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77.000000216791619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77.000000216791619</v>
      </c>
      <c r="V45">
        <f ca="1">_xlfn.RANK.EQ(Games[[#This Row],[Sort]],Games[Sort],1)</f>
        <v>77</v>
      </c>
      <c r="W45">
        <f ca="1">IF(ISNUMBER(Games[[#This Row],[QuadRank]]),_xlfn.RANK.EQ(Games[[#This Row],[QuadSort]],Games[QuadSort],1),"")</f>
        <v>77</v>
      </c>
      <c r="X45" s="5" t="s">
        <v>56</v>
      </c>
      <c r="Y45" s="5"/>
    </row>
    <row r="46" spans="2:25" x14ac:dyDescent="0.25">
      <c r="B46" s="12" t="b">
        <v>0</v>
      </c>
      <c r="C46" t="s">
        <v>30</v>
      </c>
      <c r="D46" s="13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4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22">
        <v>78</v>
      </c>
      <c r="S46" s="23">
        <v>78</v>
      </c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78.000000447433322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78.000000447433322</v>
      </c>
      <c r="V46">
        <f ca="1">_xlfn.RANK.EQ(Games[[#This Row],[Sort]],Games[Sort],1)</f>
        <v>78</v>
      </c>
      <c r="W46">
        <f ca="1">IF(ISNUMBER(Games[[#This Row],[QuadRank]]),_xlfn.RANK.EQ(Games[[#This Row],[QuadSort]],Games[QuadSort],1),"")</f>
        <v>78</v>
      </c>
      <c r="X46" s="5" t="s">
        <v>52</v>
      </c>
      <c r="Y46" s="5"/>
    </row>
    <row r="47" spans="2:25" x14ac:dyDescent="0.25">
      <c r="B47" s="12" t="b">
        <v>0</v>
      </c>
      <c r="C47" t="s">
        <v>28</v>
      </c>
      <c r="D47" s="13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4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22">
        <v>79</v>
      </c>
      <c r="S47" s="23">
        <v>79</v>
      </c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79.000002391147703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79.000002391147703</v>
      </c>
      <c r="V47">
        <f ca="1">_xlfn.RANK.EQ(Games[[#This Row],[Sort]],Games[Sort],1)</f>
        <v>79</v>
      </c>
      <c r="W47">
        <f ca="1">IF(ISNUMBER(Games[[#This Row],[QuadRank]]),_xlfn.RANK.EQ(Games[[#This Row],[QuadSort]],Games[QuadSort],1),"")</f>
        <v>79</v>
      </c>
      <c r="X47" s="5" t="s">
        <v>57</v>
      </c>
      <c r="Y47" s="5"/>
    </row>
    <row r="48" spans="2:25" x14ac:dyDescent="0.25">
      <c r="B48" s="12" t="b">
        <v>0</v>
      </c>
      <c r="C48" t="s">
        <v>30</v>
      </c>
      <c r="D48" s="13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4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22">
        <v>69</v>
      </c>
      <c r="S48" s="23">
        <v>69</v>
      </c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69.000000879710953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69.000000879710953</v>
      </c>
      <c r="V48">
        <f ca="1">_xlfn.RANK.EQ(Games[[#This Row],[Sort]],Games[Sort],1)</f>
        <v>69</v>
      </c>
      <c r="W48">
        <f ca="1">IF(ISNUMBER(Games[[#This Row],[QuadRank]]),_xlfn.RANK.EQ(Games[[#This Row],[QuadSort]],Games[QuadSort],1),"")</f>
        <v>69</v>
      </c>
      <c r="X48" s="5"/>
      <c r="Y48" s="5"/>
    </row>
    <row r="49" spans="2:25" x14ac:dyDescent="0.25">
      <c r="B49" s="12" t="b">
        <v>0</v>
      </c>
      <c r="C49" t="s">
        <v>28</v>
      </c>
      <c r="D49" s="13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4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22">
        <v>6</v>
      </c>
      <c r="S49" s="23">
        <v>6</v>
      </c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6.0000005805525793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6.0000005805525793</v>
      </c>
      <c r="V49">
        <f ca="1">_xlfn.RANK.EQ(Games[[#This Row],[Sort]],Games[Sort],1)</f>
        <v>6</v>
      </c>
      <c r="W49">
        <f ca="1">IF(ISNUMBER(Games[[#This Row],[QuadRank]]),_xlfn.RANK.EQ(Games[[#This Row],[QuadSort]],Games[QuadSort],1),"")</f>
        <v>6</v>
      </c>
      <c r="X49" s="5" t="s">
        <v>52</v>
      </c>
      <c r="Y49" s="5"/>
    </row>
    <row r="50" spans="2:25" x14ac:dyDescent="0.25">
      <c r="B50" s="12" t="b">
        <v>0</v>
      </c>
      <c r="C50" t="s">
        <v>30</v>
      </c>
      <c r="D50" s="13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4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22">
        <v>12</v>
      </c>
      <c r="S50" s="23">
        <v>12</v>
      </c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12.000001143471154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12.000001143471154</v>
      </c>
      <c r="V50">
        <f ca="1">_xlfn.RANK.EQ(Games[[#This Row],[Sort]],Games[Sort],1)</f>
        <v>12</v>
      </c>
      <c r="W50">
        <f ca="1">IF(ISNUMBER(Games[[#This Row],[QuadRank]]),_xlfn.RANK.EQ(Games[[#This Row],[QuadSort]],Games[QuadSort],1),"")</f>
        <v>12</v>
      </c>
      <c r="X50" s="5"/>
      <c r="Y50" s="5"/>
    </row>
    <row r="51" spans="2:25" x14ac:dyDescent="0.25">
      <c r="B51" s="12" t="b">
        <v>0</v>
      </c>
      <c r="C51" t="s">
        <v>30</v>
      </c>
      <c r="D51" s="13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4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22">
        <v>37</v>
      </c>
      <c r="S51" s="23">
        <v>37</v>
      </c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37.00000024338059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37.00000024338059</v>
      </c>
      <c r="V51">
        <f ca="1">_xlfn.RANK.EQ(Games[[#This Row],[Sort]],Games[Sort],1)</f>
        <v>37</v>
      </c>
      <c r="W51">
        <f ca="1">IF(ISNUMBER(Games[[#This Row],[QuadRank]]),_xlfn.RANK.EQ(Games[[#This Row],[QuadSort]],Games[QuadSort],1),"")</f>
        <v>37</v>
      </c>
      <c r="X51" s="5" t="s">
        <v>58</v>
      </c>
      <c r="Y51" s="5"/>
    </row>
    <row r="52" spans="2:25" x14ac:dyDescent="0.25">
      <c r="B52" s="12" t="b">
        <v>0</v>
      </c>
      <c r="C52" t="s">
        <v>30</v>
      </c>
      <c r="D52" s="13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4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22">
        <v>8</v>
      </c>
      <c r="S52" s="23">
        <v>8</v>
      </c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8.000002185269512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8.000002185269512</v>
      </c>
      <c r="V52">
        <f ca="1">_xlfn.RANK.EQ(Games[[#This Row],[Sort]],Games[Sort],1)</f>
        <v>8</v>
      </c>
      <c r="W52">
        <f ca="1">IF(ISNUMBER(Games[[#This Row],[QuadRank]]),_xlfn.RANK.EQ(Games[[#This Row],[QuadSort]],Games[QuadSort],1),"")</f>
        <v>8</v>
      </c>
      <c r="X52" s="5"/>
      <c r="Y52" s="5"/>
    </row>
    <row r="53" spans="2:25" x14ac:dyDescent="0.25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4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22">
        <v>36</v>
      </c>
      <c r="S53" s="23">
        <v>36</v>
      </c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36.000002644109173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36.000002644109173</v>
      </c>
      <c r="V53">
        <f ca="1">_xlfn.RANK.EQ(Games[[#This Row],[Sort]],Games[Sort],1)</f>
        <v>36</v>
      </c>
      <c r="W53">
        <f ca="1">IF(ISNUMBER(Games[[#This Row],[QuadRank]]),_xlfn.RANK.EQ(Games[[#This Row],[QuadSort]],Games[QuadSort],1),"")</f>
        <v>36</v>
      </c>
      <c r="X53" s="5"/>
      <c r="Y53" s="5"/>
    </row>
    <row r="54" spans="2:25" x14ac:dyDescent="0.25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4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22">
        <v>35</v>
      </c>
      <c r="S54" s="23">
        <v>35</v>
      </c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35.000001848097526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35.000001848097526</v>
      </c>
      <c r="V54">
        <f ca="1">_xlfn.RANK.EQ(Games[[#This Row],[Sort]],Games[Sort],1)</f>
        <v>35</v>
      </c>
      <c r="W54">
        <f ca="1">IF(ISNUMBER(Games[[#This Row],[QuadRank]]),_xlfn.RANK.EQ(Games[[#This Row],[QuadSort]],Games[QuadSort],1),"")</f>
        <v>35</v>
      </c>
      <c r="X54" s="5"/>
      <c r="Y54" s="5"/>
    </row>
    <row r="55" spans="2:25" x14ac:dyDescent="0.25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4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22">
        <v>9</v>
      </c>
      <c r="S55" s="23">
        <v>9</v>
      </c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9.000001119263791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9.000001119263791</v>
      </c>
      <c r="V55">
        <f ca="1">_xlfn.RANK.EQ(Games[[#This Row],[Sort]],Games[Sort],1)</f>
        <v>9</v>
      </c>
      <c r="W55">
        <f ca="1">IF(ISNUMBER(Games[[#This Row],[QuadRank]]),_xlfn.RANK.EQ(Games[[#This Row],[QuadSort]],Games[QuadSort],1),"")</f>
        <v>9</v>
      </c>
      <c r="X55" s="5" t="s">
        <v>59</v>
      </c>
      <c r="Y55" s="5"/>
    </row>
    <row r="56" spans="2:25" x14ac:dyDescent="0.25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4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22">
        <v>34</v>
      </c>
      <c r="S56" s="23">
        <v>34</v>
      </c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34.000000323252145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34.000000323252145</v>
      </c>
      <c r="V56">
        <f ca="1">_xlfn.RANK.EQ(Games[[#This Row],[Sort]],Games[Sort],1)</f>
        <v>34</v>
      </c>
      <c r="W56">
        <f ca="1">IF(ISNUMBER(Games[[#This Row],[QuadRank]]),_xlfn.RANK.EQ(Games[[#This Row],[QuadSort]],Games[QuadSort],1),"")</f>
        <v>34</v>
      </c>
      <c r="X56" s="5" t="s">
        <v>60</v>
      </c>
      <c r="Y56" s="5"/>
    </row>
    <row r="57" spans="2:25" x14ac:dyDescent="0.25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4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22">
        <v>33</v>
      </c>
      <c r="S57" s="23">
        <v>33</v>
      </c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33.000000782091803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33.000000782091803</v>
      </c>
      <c r="V57">
        <f ca="1">_xlfn.RANK.EQ(Games[[#This Row],[Sort]],Games[Sort],1)</f>
        <v>33</v>
      </c>
      <c r="W57">
        <f ca="1">IF(ISNUMBER(Games[[#This Row],[QuadRank]]),_xlfn.RANK.EQ(Games[[#This Row],[QuadSort]],Games[QuadSort],1),"")</f>
        <v>33</v>
      </c>
      <c r="X57" s="5"/>
      <c r="Y57" s="5"/>
    </row>
    <row r="58" spans="2:25" x14ac:dyDescent="0.25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4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22">
        <v>2</v>
      </c>
      <c r="S58" s="23">
        <v>2</v>
      </c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2.0000004430943559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2.0000004430943559</v>
      </c>
      <c r="V58">
        <f ca="1">_xlfn.RANK.EQ(Games[[#This Row],[Sort]],Games[Sort],1)</f>
        <v>2</v>
      </c>
      <c r="W58">
        <f ca="1">IF(ISNUMBER(Games[[#This Row],[QuadRank]]),_xlfn.RANK.EQ(Games[[#This Row],[QuadSort]],Games[QuadSort],1),"")</f>
        <v>2</v>
      </c>
      <c r="X58" s="5"/>
      <c r="Y58" s="5"/>
    </row>
    <row r="59" spans="2:25" x14ac:dyDescent="0.25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4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22">
        <v>3</v>
      </c>
      <c r="S59" s="23">
        <v>3</v>
      </c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3.0000009019340146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3.0000009019340146</v>
      </c>
      <c r="V59">
        <f ca="1">_xlfn.RANK.EQ(Games[[#This Row],[Sort]],Games[Sort],1)</f>
        <v>3</v>
      </c>
      <c r="W59">
        <f ca="1">IF(ISNUMBER(Games[[#This Row],[QuadRank]]),_xlfn.RANK.EQ(Games[[#This Row],[QuadSort]],Games[QuadSort],1),"")</f>
        <v>3</v>
      </c>
      <c r="X59" s="5"/>
      <c r="Y59" s="5"/>
    </row>
    <row r="60" spans="2:25" x14ac:dyDescent="0.25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4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22">
        <v>31</v>
      </c>
      <c r="S60" s="23">
        <v>31</v>
      </c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31.000002211858483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31.000002211858483</v>
      </c>
      <c r="V60">
        <f ca="1">_xlfn.RANK.EQ(Games[[#This Row],[Sort]],Games[Sort],1)</f>
        <v>31</v>
      </c>
      <c r="W60">
        <f ca="1">IF(ISNUMBER(Games[[#This Row],[QuadRank]]),_xlfn.RANK.EQ(Games[[#This Row],[QuadSort]],Games[QuadSort],1),"")</f>
        <v>31</v>
      </c>
      <c r="X60" s="5"/>
      <c r="Y60" s="5"/>
    </row>
    <row r="61" spans="2:25" x14ac:dyDescent="0.25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4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22">
        <v>4</v>
      </c>
      <c r="S61" s="23">
        <v>4</v>
      </c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4.0000011858234199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4.0000011858234199</v>
      </c>
      <c r="V61">
        <f ca="1">_xlfn.RANK.EQ(Games[[#This Row],[Sort]],Games[Sort],1)</f>
        <v>4</v>
      </c>
      <c r="W61">
        <f ca="1">IF(ISNUMBER(Games[[#This Row],[QuadRank]]),_xlfn.RANK.EQ(Games[[#This Row],[QuadSort]],Games[QuadSort],1),"")</f>
        <v>4</v>
      </c>
      <c r="X61" s="5"/>
      <c r="Y61" s="5"/>
    </row>
    <row r="62" spans="2:25" x14ac:dyDescent="0.25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4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22">
        <v>7</v>
      </c>
      <c r="S62" s="23">
        <v>7</v>
      </c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7.0000015317384667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7.0000015317384667</v>
      </c>
      <c r="V62">
        <f ca="1">_xlfn.RANK.EQ(Games[[#This Row],[Sort]],Games[Sort],1)</f>
        <v>7</v>
      </c>
      <c r="W62">
        <f ca="1">IF(ISNUMBER(Games[[#This Row],[QuadRank]]),_xlfn.RANK.EQ(Games[[#This Row],[QuadSort]],Games[QuadSort],1),"")</f>
        <v>7</v>
      </c>
      <c r="X62" s="5" t="s">
        <v>27</v>
      </c>
      <c r="Y62" s="5"/>
    </row>
    <row r="63" spans="2:25" x14ac:dyDescent="0.25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4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22">
        <v>68</v>
      </c>
      <c r="S63" s="23">
        <v>68</v>
      </c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68.000000848651439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68.000000848651439</v>
      </c>
      <c r="V63">
        <f ca="1">_xlfn.RANK.EQ(Games[[#This Row],[Sort]],Games[Sort],1)</f>
        <v>68</v>
      </c>
      <c r="W63">
        <f ca="1">IF(ISNUMBER(Games[[#This Row],[QuadRank]]),_xlfn.RANK.EQ(Games[[#This Row],[QuadSort]],Games[QuadSort],1),"")</f>
        <v>68</v>
      </c>
      <c r="X63" s="5" t="s">
        <v>61</v>
      </c>
      <c r="Y63" s="5"/>
    </row>
    <row r="64" spans="2:25" x14ac:dyDescent="0.25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4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22">
        <v>67</v>
      </c>
      <c r="S64" s="23">
        <v>67</v>
      </c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67.000001724534627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67.000001724534627</v>
      </c>
      <c r="V64">
        <f ca="1">_xlfn.RANK.EQ(Games[[#This Row],[Sort]],Games[Sort],1)</f>
        <v>67</v>
      </c>
      <c r="W64">
        <f ca="1">IF(ISNUMBER(Games[[#This Row],[QuadRank]]),_xlfn.RANK.EQ(Games[[#This Row],[QuadSort]],Games[QuadSort],1),"")</f>
        <v>67</v>
      </c>
      <c r="X64" s="5" t="s">
        <v>52</v>
      </c>
      <c r="Y64" s="5"/>
    </row>
    <row r="65" spans="10:25" x14ac:dyDescent="0.25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4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22">
        <v>66</v>
      </c>
      <c r="S65" s="23">
        <v>66</v>
      </c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66.00000241157224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66.00000241157224</v>
      </c>
      <c r="V65">
        <f ca="1">_xlfn.RANK.EQ(Games[[#This Row],[Sort]],Games[Sort],1)</f>
        <v>66</v>
      </c>
      <c r="W65">
        <f ca="1">IF(ISNUMBER(Games[[#This Row],[QuadRank]]),_xlfn.RANK.EQ(Games[[#This Row],[QuadSort]],Games[QuadSort],1),"")</f>
        <v>66</v>
      </c>
      <c r="X65" s="5"/>
      <c r="Y65" s="5"/>
    </row>
    <row r="66" spans="10:25" x14ac:dyDescent="0.25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4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22">
        <v>65</v>
      </c>
      <c r="S66" s="23">
        <v>65</v>
      </c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65.000001387362644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65.000001387362644</v>
      </c>
      <c r="V66">
        <f ca="1">_xlfn.RANK.EQ(Games[[#This Row],[Sort]],Games[Sort],1)</f>
        <v>65</v>
      </c>
      <c r="W66">
        <f ca="1">IF(ISNUMBER(Games[[#This Row],[QuadRank]]),_xlfn.RANK.EQ(Games[[#This Row],[QuadSort]],Games[QuadSort],1),"")</f>
        <v>65</v>
      </c>
      <c r="X66" s="5" t="s">
        <v>62</v>
      </c>
      <c r="Y66" s="5"/>
    </row>
    <row r="67" spans="10:25" x14ac:dyDescent="0.25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4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22">
        <v>64</v>
      </c>
      <c r="S67" s="23">
        <v>64</v>
      </c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64.000000589525541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64.000000589525541</v>
      </c>
      <c r="V67">
        <f ca="1">_xlfn.RANK.EQ(Games[[#This Row],[Sort]],Games[Sort],1)</f>
        <v>64</v>
      </c>
      <c r="W67">
        <f ca="1">IF(ISNUMBER(Games[[#This Row],[QuadRank]]),_xlfn.RANK.EQ(Games[[#This Row],[QuadSort]],Games[QuadSort],1),"")</f>
        <v>64</v>
      </c>
      <c r="X67" s="5" t="s">
        <v>63</v>
      </c>
      <c r="Y67" s="5"/>
    </row>
    <row r="68" spans="10:25" x14ac:dyDescent="0.25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4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22">
        <v>5</v>
      </c>
      <c r="S68" s="23">
        <v>5</v>
      </c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5.0000010483651955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5.0000010483651955</v>
      </c>
      <c r="V68">
        <f ca="1">_xlfn.RANK.EQ(Games[[#This Row],[Sort]],Games[Sort],1)</f>
        <v>5</v>
      </c>
      <c r="W68">
        <f ca="1">IF(ISNUMBER(Games[[#This Row],[QuadRank]]),_xlfn.RANK.EQ(Games[[#This Row],[QuadSort]],Games[QuadSort],1),"")</f>
        <v>5</v>
      </c>
      <c r="X68" s="5"/>
      <c r="Y68" s="5"/>
    </row>
    <row r="69" spans="10:25" ht="14.5" x14ac:dyDescent="0.25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4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22">
        <v>11</v>
      </c>
      <c r="S69" s="24">
        <v>11</v>
      </c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11.000002358289665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11.000002358289665</v>
      </c>
      <c r="V69">
        <f ca="1">_xlfn.RANK.EQ(Games[[#This Row],[Sort]],Games[Sort],1)</f>
        <v>11</v>
      </c>
      <c r="W69">
        <f ca="1">IF(ISNUMBER(Games[[#This Row],[QuadRank]]),_xlfn.RANK.EQ(Games[[#This Row],[QuadSort]],Games[QuadSort],1),"")</f>
        <v>11</v>
      </c>
      <c r="X69" s="5"/>
      <c r="Y69" s="5"/>
    </row>
    <row r="70" spans="10:25" x14ac:dyDescent="0.25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4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22">
        <v>30</v>
      </c>
      <c r="S70" s="23">
        <v>30</v>
      </c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30.00000203260414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30.00000203260414</v>
      </c>
      <c r="V70">
        <f ca="1">_xlfn.RANK.EQ(Games[[#This Row],[Sort]],Games[Sort],1)</f>
        <v>30</v>
      </c>
      <c r="W70">
        <f ca="1">IF(ISNUMBER(Games[[#This Row],[QuadRank]]),_xlfn.RANK.EQ(Games[[#This Row],[QuadSort]],Games[QuadSort],1),"")</f>
        <v>30</v>
      </c>
      <c r="X70" s="5"/>
      <c r="Y70" s="5"/>
    </row>
    <row r="71" spans="10:25" x14ac:dyDescent="0.25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4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22">
        <v>29</v>
      </c>
      <c r="S71" s="23">
        <v>29</v>
      </c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29.000002263245843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29.000002263245843</v>
      </c>
      <c r="V71">
        <f ca="1">_xlfn.RANK.EQ(Games[[#This Row],[Sort]],Games[Sort],1)</f>
        <v>29</v>
      </c>
      <c r="W71">
        <f ca="1">IF(ISNUMBER(Games[[#This Row],[QuadRank]]),_xlfn.RANK.EQ(Games[[#This Row],[QuadSort]],Games[QuadSort],1),"")</f>
        <v>29</v>
      </c>
      <c r="X71" s="5" t="s">
        <v>64</v>
      </c>
      <c r="Y71" s="5"/>
    </row>
    <row r="72" spans="10:25" x14ac:dyDescent="0.25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4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22">
        <v>26</v>
      </c>
      <c r="S72" s="23">
        <v>26</v>
      </c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26.000002544691501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26.000002544691501</v>
      </c>
      <c r="V72">
        <f ca="1">_xlfn.RANK.EQ(Games[[#This Row],[Sort]],Games[Sort],1)</f>
        <v>26</v>
      </c>
      <c r="W72">
        <f ca="1">IF(ISNUMBER(Games[[#This Row],[QuadRank]]),_xlfn.RANK.EQ(Games[[#This Row],[QuadSort]],Games[QuadSort],1),"")</f>
        <v>26</v>
      </c>
      <c r="X72" s="5" t="s">
        <v>65</v>
      </c>
      <c r="Y72" s="5"/>
    </row>
    <row r="73" spans="10:25" x14ac:dyDescent="0.25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4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22">
        <v>24</v>
      </c>
      <c r="S73" s="23">
        <v>24</v>
      </c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24.000001520481902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24.000001520481902</v>
      </c>
      <c r="V73">
        <f ca="1">_xlfn.RANK.EQ(Games[[#This Row],[Sort]],Games[Sort],1)</f>
        <v>24</v>
      </c>
      <c r="W73">
        <f ca="1">IF(ISNUMBER(Games[[#This Row],[QuadRank]]),_xlfn.RANK.EQ(Games[[#This Row],[QuadSort]],Games[QuadSort],1),"")</f>
        <v>24</v>
      </c>
      <c r="X73" s="5" t="s">
        <v>66</v>
      </c>
      <c r="Y73" s="5"/>
    </row>
    <row r="74" spans="10:25" x14ac:dyDescent="0.25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4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22">
        <v>22</v>
      </c>
      <c r="S74" s="23">
        <v>22</v>
      </c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22.00000118148445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22.00000118148445</v>
      </c>
      <c r="V74">
        <f ca="1">_xlfn.RANK.EQ(Games[[#This Row],[Sort]],Games[Sort],1)</f>
        <v>22</v>
      </c>
      <c r="W74">
        <f ca="1">IF(ISNUMBER(Games[[#This Row],[QuadRank]]),_xlfn.RANK.EQ(Games[[#This Row],[QuadSort]],Games[QuadSort],1),"")</f>
        <v>22</v>
      </c>
      <c r="X74" s="5" t="s">
        <v>67</v>
      </c>
      <c r="Y74" s="5"/>
    </row>
    <row r="75" spans="10:25" x14ac:dyDescent="0.25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4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22">
        <v>23</v>
      </c>
      <c r="S75" s="23">
        <v>23</v>
      </c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23.000001640324111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23.000001640324111</v>
      </c>
      <c r="V75">
        <f ca="1">_xlfn.RANK.EQ(Games[[#This Row],[Sort]],Games[Sort],1)</f>
        <v>23</v>
      </c>
      <c r="W75">
        <f ca="1">IF(ISNUMBER(Games[[#This Row],[QuadRank]]),_xlfn.RANK.EQ(Games[[#This Row],[QuadSort]],Games[QuadSort],1),"")</f>
        <v>23</v>
      </c>
      <c r="X75" s="5" t="s">
        <v>67</v>
      </c>
      <c r="Y75" s="5"/>
    </row>
    <row r="76" spans="10:25" x14ac:dyDescent="0.25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4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22">
        <v>21</v>
      </c>
      <c r="S76" s="23">
        <v>21</v>
      </c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21.000000616114509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21.000000616114509</v>
      </c>
      <c r="V76">
        <f ca="1">_xlfn.RANK.EQ(Games[[#This Row],[Sort]],Games[Sort],1)</f>
        <v>21</v>
      </c>
      <c r="W76">
        <f ca="1">IF(ISNUMBER(Games[[#This Row],[QuadRank]]),_xlfn.RANK.EQ(Games[[#This Row],[QuadSort]],Games[QuadSort],1),"")</f>
        <v>21</v>
      </c>
      <c r="X76" s="5" t="s">
        <v>67</v>
      </c>
      <c r="Y76" s="5"/>
    </row>
    <row r="77" spans="10:25" x14ac:dyDescent="0.25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4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22">
        <v>18</v>
      </c>
      <c r="S77" s="23">
        <v>18</v>
      </c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18.000001720195662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18.000001720195662</v>
      </c>
      <c r="V77">
        <f ca="1">_xlfn.RANK.EQ(Games[[#This Row],[Sort]],Games[Sort],1)</f>
        <v>18</v>
      </c>
      <c r="W77">
        <f ca="1">IF(ISNUMBER(Games[[#This Row],[QuadRank]]),_xlfn.RANK.EQ(Games[[#This Row],[QuadSort]],Games[QuadSort],1),"")</f>
        <v>18</v>
      </c>
      <c r="X77" s="5"/>
      <c r="Y77" s="5"/>
    </row>
    <row r="78" spans="10:25" x14ac:dyDescent="0.25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4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22">
        <v>20</v>
      </c>
      <c r="S78" s="23">
        <v>20</v>
      </c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20.000001950837365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20.000001950837365</v>
      </c>
      <c r="V78">
        <f ca="1">_xlfn.RANK.EQ(Games[[#This Row],[Sort]],Games[Sort],1)</f>
        <v>20</v>
      </c>
      <c r="W78">
        <f ca="1">IF(ISNUMBER(Games[[#This Row],[QuadRank]]),_xlfn.RANK.EQ(Games[[#This Row],[QuadSort]],Games[QuadSort],1),"")</f>
        <v>20</v>
      </c>
      <c r="X78" s="5"/>
      <c r="Y78" s="5"/>
    </row>
    <row r="79" spans="10:25" x14ac:dyDescent="0.25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4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22">
        <v>19</v>
      </c>
      <c r="S79" s="23">
        <v>19</v>
      </c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19.000002637874982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19.000002637874982</v>
      </c>
      <c r="V79">
        <f ca="1">_xlfn.RANK.EQ(Games[[#This Row],[Sort]],Games[Sort],1)</f>
        <v>19</v>
      </c>
      <c r="W79">
        <f ca="1">IF(ISNUMBER(Games[[#This Row],[QuadRank]]),_xlfn.RANK.EQ(Games[[#This Row],[QuadSort]],Games[QuadSort],1),"")</f>
        <v>19</v>
      </c>
      <c r="X79" s="5"/>
      <c r="Y79" s="5"/>
    </row>
    <row r="80" spans="10:25" x14ac:dyDescent="0.25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4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22">
        <v>16</v>
      </c>
      <c r="S80" s="23">
        <v>16</v>
      </c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16.000002462924726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16.000002462924726</v>
      </c>
      <c r="V80">
        <f ca="1">_xlfn.RANK.EQ(Games[[#This Row],[Sort]],Games[Sort],1)</f>
        <v>16</v>
      </c>
      <c r="W80">
        <f ca="1">IF(ISNUMBER(Games[[#This Row],[QuadRank]]),_xlfn.RANK.EQ(Games[[#This Row],[QuadSort]],Games[QuadSort],1),"")</f>
        <v>16</v>
      </c>
      <c r="X80" s="5" t="s">
        <v>52</v>
      </c>
      <c r="Y80" s="5"/>
    </row>
    <row r="81" spans="10:25" x14ac:dyDescent="0.25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4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22">
        <v>13</v>
      </c>
      <c r="S81" s="23">
        <v>13</v>
      </c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13.000000410236314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13.000000410236314</v>
      </c>
      <c r="V81">
        <f ca="1">_xlfn.RANK.EQ(Games[[#This Row],[Sort]],Games[Sort],1)</f>
        <v>13</v>
      </c>
      <c r="W81">
        <f ca="1">IF(ISNUMBER(Games[[#This Row],[QuadRank]]),_xlfn.RANK.EQ(Games[[#This Row],[QuadSort]],Games[QuadSort],1),"")</f>
        <v>13</v>
      </c>
      <c r="X81" s="5" t="s">
        <v>68</v>
      </c>
      <c r="Y81" s="5"/>
    </row>
    <row r="82" spans="10:25" x14ac:dyDescent="0.25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4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22">
        <v>15</v>
      </c>
      <c r="S82" s="23">
        <v>15</v>
      </c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15.000001104638065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15.000001104638065</v>
      </c>
      <c r="V82">
        <f ca="1">_xlfn.RANK.EQ(Games[[#This Row],[Sort]],Games[Sort],1)</f>
        <v>15</v>
      </c>
      <c r="W82">
        <f ca="1">IF(ISNUMBER(Games[[#This Row],[QuadRank]]),_xlfn.RANK.EQ(Games[[#This Row],[QuadSort]],Games[QuadSort],1),"")</f>
        <v>15</v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2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3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4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5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6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8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Tom Grandine</cp:lastModifiedBy>
  <cp:revision/>
  <dcterms:created xsi:type="dcterms:W3CDTF">2004-01-21T05:17:22Z</dcterms:created>
  <dcterms:modified xsi:type="dcterms:W3CDTF">2026-09-25T01:04:00Z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