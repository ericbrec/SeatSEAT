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13_ncr:1_{B15C3449-314A-46B7-98D8-35BC9B1BD428}" xr6:coauthVersionLast="47" xr6:coauthVersionMax="47" xr10:uidLastSave="{00000000-0000-0000-0000-000000000000}"/>
  <bookViews>
    <workbookView xWindow="1410" yWindow="2840" windowWidth="26900" windowHeight="1701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W63" i="1" l="1"/>
  <c r="W39" i="1"/>
  <c r="W15" i="1"/>
  <c r="W62" i="1"/>
  <c r="W38" i="1"/>
  <c r="W48" i="1"/>
  <c r="W36" i="1"/>
  <c r="W59" i="1"/>
  <c r="W11" i="1"/>
  <c r="W60" i="1"/>
  <c r="W35" i="1"/>
  <c r="W78" i="1"/>
  <c r="W54" i="1"/>
  <c r="W2" i="1"/>
  <c r="W55" i="1"/>
  <c r="W71" i="1"/>
  <c r="W75" i="1"/>
  <c r="W50" i="1"/>
  <c r="W13" i="1"/>
  <c r="W51" i="1"/>
  <c r="W37" i="1"/>
  <c r="W27" i="1"/>
  <c r="W67" i="1"/>
  <c r="W61" i="1"/>
  <c r="W12" i="1"/>
  <c r="W26" i="1"/>
  <c r="W66" i="1"/>
  <c r="W42" i="1"/>
  <c r="W18" i="1"/>
  <c r="W70" i="1"/>
  <c r="W65" i="1"/>
  <c r="W41" i="1"/>
  <c r="W17" i="1"/>
  <c r="W74" i="1"/>
  <c r="W64" i="1"/>
  <c r="W40" i="1"/>
  <c r="W16" i="1"/>
  <c r="W22" i="1"/>
  <c r="W72" i="1"/>
  <c r="W69" i="1"/>
  <c r="W45" i="1"/>
  <c r="W21" i="1"/>
  <c r="W43" i="1"/>
  <c r="W44" i="1"/>
  <c r="W46" i="1"/>
  <c r="W14" i="1"/>
  <c r="W47" i="1"/>
  <c r="W68" i="1"/>
  <c r="W20" i="1"/>
  <c r="W76" i="1"/>
  <c r="W52" i="1"/>
  <c r="W4" i="1"/>
  <c r="W49" i="1"/>
  <c r="W19" i="1"/>
  <c r="W23" i="1"/>
  <c r="W82" i="1"/>
  <c r="W58" i="1"/>
  <c r="W34" i="1"/>
  <c r="W10" i="1"/>
  <c r="W33" i="1"/>
  <c r="W56" i="1"/>
  <c r="W80" i="1"/>
  <c r="W32" i="1"/>
  <c r="W8" i="1"/>
  <c r="W79" i="1"/>
  <c r="W31" i="1"/>
  <c r="W7" i="1"/>
  <c r="W30" i="1"/>
  <c r="W6" i="1"/>
  <c r="W81" i="1"/>
  <c r="W57" i="1"/>
  <c r="W9" i="1"/>
  <c r="W77" i="1"/>
  <c r="W29" i="1"/>
  <c r="W3" i="1"/>
  <c r="W53" i="1"/>
  <c r="W5" i="1"/>
  <c r="W24" i="1"/>
  <c r="W28" i="1"/>
  <c r="W73" i="1"/>
  <c r="W25" i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<sst xmlns="http://schemas.openxmlformats.org/spreadsheetml/2006/main" count="283" uniqueCount="109">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</sst>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7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0F7789E6-4FAA-4C8B-92B2-B3B733C2C0BF}"/>
    <cellStyle name="Normal 3" xfId="2" xr:uid="{00000000-0005-0000-0000-000004000000}"/>
    <cellStyle name="Normal 3 2" xfId="8" xr:uid="{5AD683E2-5E94-49B9-A6C9-79385C40E806}"/>
    <cellStyle name="Normal 4" xfId="3" xr:uid="{00000000-0005-0000-0000-000005000000}"/>
    <cellStyle name="Normal 4 2" xfId="9" xr:uid="{84669797-DF92-44E5-883E-C945486EC958}"/>
    <cellStyle name="Normal 5" xfId="5" xr:uid="{AF0439D6-8192-4E89-93DB-F527DA4E9322}"/>
    <cellStyle name="Normal 5 2" xfId="10" xr:uid="{30BD7CB5-D31A-4A5B-8285-959200621B5F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8" activePane="bottomLeft" state="frozen"/>
      <selection pane="bottomLeft" activeCell="D41" sqref="D41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5" t="s">
        <v>2</v>
      </c>
      <c r="K1" s="16" t="s">
        <v>0</v>
      </c>
      <c r="L1" s="17" t="s">
        <v>1</v>
      </c>
      <c r="M1" s="15" t="s">
        <v>4</v>
      </c>
      <c r="N1" s="17" t="s">
        <v>86</v>
      </c>
      <c r="O1" s="17" t="s">
        <v>88</v>
      </c>
      <c r="P1" s="17" t="s">
        <v>95</v>
      </c>
      <c r="Q1" s="17" t="s">
        <v>96</v>
      </c>
      <c r="R1" s="18" t="s">
        <v>3</v>
      </c>
      <c r="S1" s="18" t="s">
        <v>87</v>
      </c>
      <c r="T1" s="17" t="s">
        <v>75</v>
      </c>
      <c r="U1" s="17" t="s">
        <v>94</v>
      </c>
      <c r="V1" s="17" t="s">
        <v>89</v>
      </c>
      <c r="W1" s="17" t="s">
        <v>90</v>
      </c>
      <c r="X1" s="15" t="s">
        <v>92</v>
      </c>
      <c r="Y1" s="15" t="s">
        <v>93</v>
      </c>
      <c r="AA1" s="15" t="s">
        <v>91</v>
      </c>
      <c r="AB1" s="15" t="s">
        <v>76</v>
      </c>
      <c r="AC1" s="15" t="s">
        <v>77</v>
      </c>
      <c r="AD1" s="15" t="s">
        <v>82</v>
      </c>
      <c r="AE1" s="15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2">
        <v>50</v>
      </c>
      <c r="S2" s="23">
        <v>58</v>
      </c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50.000002086194051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58.000002086194051</v>
      </c>
      <c r="V2">
        <f ca="1">_xlfn.RANK.EQ(Games[[#This Row],[Sort]],Games[Sort],1)</f>
        <v>50</v>
      </c>
      <c r="W2">
        <f ca="1">IF(ISNUMBER(Games[[#This Row],[QuadRank]]),_xlfn.RANK.EQ(Games[[#This Row],[QuadSort]],Games[QuadSort],1),"")</f>
        <v>58</v>
      </c>
      <c r="X2" s="5" t="s">
        <v>38</v>
      </c>
      <c r="Y2" s="5"/>
      <c r="AA2" s="19" t="s">
        <v>79</v>
      </c>
      <c r="AB2" s="20">
        <v>14</v>
      </c>
      <c r="AC2" s="20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2">
        <v>49</v>
      </c>
      <c r="S3" s="23">
        <v>49</v>
      </c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49.000002277012591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49.000002277012591</v>
      </c>
      <c r="V3">
        <f ca="1">_xlfn.RANK.EQ(Games[[#This Row],[Sort]],Games[Sort],1)</f>
        <v>49</v>
      </c>
      <c r="W3">
        <f ca="1">IF(ISNUMBER(Games[[#This Row],[QuadRank]]),_xlfn.RANK.EQ(Games[[#This Row],[QuadSort]],Games[QuadSort],1),"")</f>
        <v>49</v>
      </c>
      <c r="X3" s="5" t="s">
        <v>39</v>
      </c>
      <c r="Y3" s="5"/>
      <c r="AA3" s="19" t="s">
        <v>99</v>
      </c>
      <c r="AB3" s="20">
        <v>0</v>
      </c>
      <c r="AC3" s="20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2">
        <v>1</v>
      </c>
      <c r="S4" s="23">
        <v>1</v>
      </c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1.0000015439797065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1.0000015439797065</v>
      </c>
      <c r="V4">
        <f ca="1">_xlfn.RANK.EQ(Games[[#This Row],[Sort]],Games[Sort],1)</f>
        <v>1</v>
      </c>
      <c r="W4">
        <f ca="1">IF(ISNUMBER(Games[[#This Row],[QuadRank]]),_xlfn.RANK.EQ(Games[[#This Row],[QuadSort]],Games[QuadSort],1),"")</f>
        <v>1</v>
      </c>
      <c r="X4" s="5" t="s">
        <v>40</v>
      </c>
      <c r="Y4" s="5"/>
      <c r="AA4" s="19" t="s">
        <v>100</v>
      </c>
      <c r="AB4" s="20">
        <v>5</v>
      </c>
      <c r="AC4" s="20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2">
        <v>48</v>
      </c>
      <c r="S5" s="23">
        <v>48</v>
      </c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48.00000053733217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48.00000053733217</v>
      </c>
      <c r="V5">
        <f ca="1">_xlfn.RANK.EQ(Games[[#This Row],[Sort]],Games[Sort],1)</f>
        <v>48</v>
      </c>
      <c r="W5">
        <f ca="1">IF(ISNUMBER(Games[[#This Row],[QuadRank]]),_xlfn.RANK.EQ(Games[[#This Row],[QuadSort]],Games[QuadSort],1),"")</f>
        <v>48</v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2">
        <v>56</v>
      </c>
      <c r="S6" s="23">
        <v>56</v>
      </c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56.000002004506456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56.000002004506456</v>
      </c>
      <c r="V6">
        <f ca="1">_xlfn.RANK.EQ(Games[[#This Row],[Sort]],Games[Sort],1)</f>
        <v>56</v>
      </c>
      <c r="W6">
        <f ca="1">IF(ISNUMBER(Games[[#This Row],[QuadRank]]),_xlfn.RANK.EQ(Games[[#This Row],[QuadSort]],Games[QuadSort],1),"")</f>
        <v>55</v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2">
        <v>10</v>
      </c>
      <c r="S7" s="23">
        <v>10</v>
      </c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10.000000707859034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10.000000707859034</v>
      </c>
      <c r="V7">
        <f ca="1">_xlfn.RANK.EQ(Games[[#This Row],[Sort]],Games[Sort],1)</f>
        <v>10</v>
      </c>
      <c r="W7">
        <f ca="1">IF(ISNUMBER(Games[[#This Row],[QuadRank]]),_xlfn.RANK.EQ(Games[[#This Row],[QuadSort]],Games[QuadSort],1),"")</f>
        <v>10</v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2">
        <v>57</v>
      </c>
      <c r="S8" s="23">
        <v>57</v>
      </c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57.000002525380545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57.000002525380545</v>
      </c>
      <c r="V8">
        <f ca="1">_xlfn.RANK.EQ(Games[[#This Row],[Sort]],Games[Sort],1)</f>
        <v>57</v>
      </c>
      <c r="W8">
        <f ca="1">IF(ISNUMBER(Games[[#This Row],[QuadRank]]),_xlfn.RANK.EQ(Games[[#This Row],[QuadSort]],Games[QuadSort],1),"")</f>
        <v>56</v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2">
        <v>80</v>
      </c>
      <c r="S9" s="23">
        <v>80</v>
      </c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80.000001754110514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80.000001754110514</v>
      </c>
      <c r="V9">
        <f ca="1">_xlfn.RANK.EQ(Games[[#This Row],[Sort]],Games[Sort],1)</f>
        <v>80</v>
      </c>
      <c r="W9">
        <f ca="1">IF(ISNUMBER(Games[[#This Row],[QuadRank]]),_xlfn.RANK.EQ(Games[[#This Row],[QuadSort]],Games[QuadSort],1),"")</f>
        <v>80</v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2">
        <v>81</v>
      </c>
      <c r="S10" s="23">
        <v>81</v>
      </c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81.000000457463088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81.000000457463088</v>
      </c>
      <c r="V10">
        <f ca="1">_xlfn.RANK.EQ(Games[[#This Row],[Sort]],Games[Sort],1)</f>
        <v>81</v>
      </c>
      <c r="W10">
        <f ca="1">IF(ISNUMBER(Games[[#This Row],[QuadRank]]),_xlfn.RANK.EQ(Games[[#This Row],[QuadSort]],Games[QuadSort],1),"")</f>
        <v>81</v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2">
        <v>47</v>
      </c>
      <c r="S11" s="23">
        <v>47</v>
      </c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47.000002274984595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47.000002274984595</v>
      </c>
      <c r="V11">
        <f ca="1">_xlfn.RANK.EQ(Games[[#This Row],[Sort]],Games[Sort],1)</f>
        <v>47</v>
      </c>
      <c r="W11">
        <f ca="1">IF(ISNUMBER(Games[[#This Row],[QuadRank]]),_xlfn.RANK.EQ(Games[[#This Row],[QuadSort]],Games[QuadSort],1),"")</f>
        <v>47</v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2">
        <v>55</v>
      </c>
      <c r="S12" s="23">
        <v>55</v>
      </c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55.000000978337169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55.000000978337169</v>
      </c>
      <c r="V12">
        <f ca="1">_xlfn.RANK.EQ(Games[[#This Row],[Sort]],Games[Sort],1)</f>
        <v>55</v>
      </c>
      <c r="W12">
        <f ca="1">IF(ISNUMBER(Games[[#This Row],[QuadRank]]),_xlfn.RANK.EQ(Games[[#This Row],[QuadSort]],Games[QuadSort],1),"")</f>
        <v>54</v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2">
        <v>46</v>
      </c>
      <c r="S13" s="23">
        <v>46</v>
      </c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46.000000896756632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46.000000896756632</v>
      </c>
      <c r="V13">
        <f ca="1">_xlfn.RANK.EQ(Games[[#This Row],[Sort]],Games[Sort],1)</f>
        <v>46</v>
      </c>
      <c r="W13">
        <f ca="1">IF(ISNUMBER(Games[[#This Row],[QuadRank]]),_xlfn.RANK.EQ(Games[[#This Row],[QuadSort]],Games[QuadSort],1),"")</f>
        <v>46</v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2">
        <v>25</v>
      </c>
      <c r="S14" s="23">
        <v>25</v>
      </c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25.000000770468471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25.000000770468471</v>
      </c>
      <c r="V14">
        <f ca="1">_xlfn.RANK.EQ(Games[[#This Row],[Sort]],Games[Sort],1)</f>
        <v>25</v>
      </c>
      <c r="W14">
        <f ca="1">IF(ISNUMBER(Games[[#This Row],[QuadRank]]),_xlfn.RANK.EQ(Games[[#This Row],[QuadSort]],Games[QuadSort],1),"")</f>
        <v>25</v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2">
        <v>54</v>
      </c>
      <c r="S15" s="23">
        <v>54</v>
      </c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54.000001731726286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54.000001731726286</v>
      </c>
      <c r="V15">
        <f ca="1">_xlfn.RANK.EQ(Games[[#This Row],[Sort]],Games[Sort],1)</f>
        <v>54</v>
      </c>
      <c r="W15">
        <f ca="1">IF(ISNUMBER(Games[[#This Row],[QuadRank]]),_xlfn.RANK.EQ(Games[[#This Row],[QuadSort]],Games[QuadSort],1),"")</f>
        <v>53</v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2">
        <v>53</v>
      </c>
      <c r="S16" s="23">
        <v>53</v>
      </c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53.000000060635955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53.000000060635955</v>
      </c>
      <c r="V16">
        <f ca="1">_xlfn.RANK.EQ(Games[[#This Row],[Sort]],Games[Sort],1)</f>
        <v>53</v>
      </c>
      <c r="W16">
        <f ca="1">IF(ISNUMBER(Games[[#This Row],[QuadRank]]),_xlfn.RANK.EQ(Games[[#This Row],[QuadSort]],Games[QuadSort],1),"")</f>
        <v>52</v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2">
        <v>52</v>
      </c>
      <c r="S17" s="23">
        <v>52</v>
      </c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52.000001503714564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52.000001503714564</v>
      </c>
      <c r="V17">
        <f ca="1">_xlfn.RANK.EQ(Games[[#This Row],[Sort]],Games[Sort],1)</f>
        <v>52</v>
      </c>
      <c r="W17">
        <f ca="1">IF(ISNUMBER(Games[[#This Row],[QuadRank]]),_xlfn.RANK.EQ(Games[[#This Row],[QuadSort]],Games[QuadSort],1),"")</f>
        <v>51</v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2">
        <v>51</v>
      </c>
      <c r="S18" s="23">
        <v>51</v>
      </c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51.000000581510044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51.000000581510044</v>
      </c>
      <c r="V18">
        <f ca="1">_xlfn.RANK.EQ(Games[[#This Row],[Sort]],Games[Sort],1)</f>
        <v>51</v>
      </c>
      <c r="W18">
        <f ca="1">IF(ISNUMBER(Games[[#This Row],[QuadRank]]),_xlfn.RANK.EQ(Games[[#This Row],[QuadSort]],Games[QuadSort],1),"")</f>
        <v>50</v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2">
        <v>63</v>
      </c>
      <c r="S19" s="23">
        <v>63</v>
      </c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63.000002352046508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63.000002352046508</v>
      </c>
      <c r="V19">
        <f ca="1">_xlfn.RANK.EQ(Games[[#This Row],[Sort]],Games[Sort],1)</f>
        <v>63</v>
      </c>
      <c r="W19">
        <f ca="1">IF(ISNUMBER(Games[[#This Row],[QuadRank]]),_xlfn.RANK.EQ(Games[[#This Row],[QuadSort]],Games[QuadSort],1),"")</f>
        <v>63</v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2">
        <v>62</v>
      </c>
      <c r="S20" s="23">
        <v>62</v>
      </c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62.000001253318615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62.000001253318615</v>
      </c>
      <c r="V20">
        <f ca="1">_xlfn.RANK.EQ(Games[[#This Row],[Sort]],Games[Sort],1)</f>
        <v>62</v>
      </c>
      <c r="W20">
        <f ca="1">IF(ISNUMBER(Games[[#This Row],[QuadRank]]),_xlfn.RANK.EQ(Games[[#This Row],[QuadSort]],Games[QuadSort],1),"")</f>
        <v>62</v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2">
        <v>61</v>
      </c>
      <c r="S21" s="23">
        <v>61</v>
      </c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61.000000331114094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61.000000331114094</v>
      </c>
      <c r="V21">
        <f ca="1">_xlfn.RANK.EQ(Games[[#This Row],[Sort]],Games[Sort],1)</f>
        <v>61</v>
      </c>
      <c r="W21">
        <f ca="1">IF(ISNUMBER(Games[[#This Row],[QuadRank]]),_xlfn.RANK.EQ(Games[[#This Row],[QuadSort]],Games[QuadSort],1),"")</f>
        <v>61</v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2">
        <v>60</v>
      </c>
      <c r="S22" s="23">
        <v>60</v>
      </c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60.000001399749799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60.000001399749799</v>
      </c>
      <c r="V22">
        <f ca="1">_xlfn.RANK.EQ(Games[[#This Row],[Sort]],Games[Sort],1)</f>
        <v>60</v>
      </c>
      <c r="W22">
        <f ca="1">IF(ISNUMBER(Games[[#This Row],[QuadRank]]),_xlfn.RANK.EQ(Games[[#This Row],[QuadSort]],Games[QuadSort],1),"")</f>
        <v>60</v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2">
        <v>59</v>
      </c>
      <c r="S23" s="23">
        <v>59</v>
      </c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59.000000103102373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59.000000103102373</v>
      </c>
      <c r="V23">
        <f ca="1">_xlfn.RANK.EQ(Games[[#This Row],[Sort]],Games[Sort],1)</f>
        <v>59</v>
      </c>
      <c r="W23">
        <f ca="1">IF(ISNUMBER(Games[[#This Row],[QuadRank]]),_xlfn.RANK.EQ(Games[[#This Row],[QuadSort]],Games[QuadSort],1),"")</f>
        <v>59</v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2">
        <v>58</v>
      </c>
      <c r="S24" s="23">
        <v>58</v>
      </c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58.00000192062388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58.00000192062388</v>
      </c>
      <c r="V24">
        <f ca="1">_xlfn.RANK.EQ(Games[[#This Row],[Sort]],Games[Sort],1)</f>
        <v>58</v>
      </c>
      <c r="W24">
        <f ca="1">IF(ISNUMBER(Games[[#This Row],[QuadRank]]),_xlfn.RANK.EQ(Games[[#This Row],[QuadSort]],Games[QuadSort],1),"")</f>
        <v>57</v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1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2">
        <v>27</v>
      </c>
      <c r="S25" s="23">
        <v>27</v>
      </c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27.000001149353849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27.000001149353849</v>
      </c>
      <c r="V25">
        <f ca="1">_xlfn.RANK.EQ(Games[[#This Row],[Sort]],Games[Sort],1)</f>
        <v>27</v>
      </c>
      <c r="W25">
        <f ca="1">IF(ISNUMBER(Games[[#This Row],[QuadRank]]),_xlfn.RANK.EQ(Games[[#This Row],[QuadSort]],Games[QuadSort],1),"")</f>
        <v>27</v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1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2">
        <v>28</v>
      </c>
      <c r="S26" s="23">
        <v>28</v>
      </c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28.00000070897012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28.00000070897012</v>
      </c>
      <c r="V26">
        <f ca="1">_xlfn.RANK.EQ(Games[[#This Row],[Sort]],Games[Sort],1)</f>
        <v>28</v>
      </c>
      <c r="W26">
        <f ca="1">IF(ISNUMBER(Games[[#This Row],[QuadRank]]),_xlfn.RANK.EQ(Games[[#This Row],[QuadSort]],Games[QuadSort],1),"")</f>
        <v>28</v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1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2">
        <v>32</v>
      </c>
      <c r="S27" s="23">
        <v>32</v>
      </c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32.000001271689349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32.000001271689349</v>
      </c>
      <c r="V27">
        <f ca="1">_xlfn.RANK.EQ(Games[[#This Row],[Sort]],Games[Sort],1)</f>
        <v>32</v>
      </c>
      <c r="W27">
        <f ca="1">IF(ISNUMBER(Games[[#This Row],[QuadRank]]),_xlfn.RANK.EQ(Games[[#This Row],[QuadSort]],Games[QuadSort],1),"")</f>
        <v>32</v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1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2">
        <v>45</v>
      </c>
      <c r="S28" s="23">
        <v>45</v>
      </c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45.00000031323318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45.00000031323318</v>
      </c>
      <c r="V28">
        <f ca="1">_xlfn.RANK.EQ(Games[[#This Row],[Sort]],Games[Sort],1)</f>
        <v>45</v>
      </c>
      <c r="W28">
        <f ca="1">IF(ISNUMBER(Games[[#This Row],[QuadRank]]),_xlfn.RANK.EQ(Games[[#This Row],[QuadSort]],Games[QuadSort],1),"")</f>
        <v>45</v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1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2">
        <v>43</v>
      </c>
      <c r="S29" s="23">
        <v>43</v>
      </c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43.000001756311782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43.000001756311782</v>
      </c>
      <c r="V29">
        <f ca="1">_xlfn.RANK.EQ(Games[[#This Row],[Sort]],Games[Sort],1)</f>
        <v>43</v>
      </c>
      <c r="W29">
        <f ca="1">IF(ISNUMBER(Games[[#This Row],[QuadRank]]),_xlfn.RANK.EQ(Games[[#This Row],[QuadSort]],Games[QuadSort],1),"")</f>
        <v>43</v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2">
        <v>44</v>
      </c>
      <c r="S30" s="23">
        <v>44</v>
      </c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44.000000834107261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44.000000834107261</v>
      </c>
      <c r="V30">
        <f ca="1">_xlfn.RANK.EQ(Games[[#This Row],[Sort]],Games[Sort],1)</f>
        <v>44</v>
      </c>
      <c r="W30">
        <f ca="1">IF(ISNUMBER(Games[[#This Row],[QuadRank]]),_xlfn.RANK.EQ(Games[[#This Row],[QuadSort]],Games[QuadSort],1),"")</f>
        <v>44</v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2">
        <v>14</v>
      </c>
      <c r="S31" s="23">
        <v>14</v>
      </c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14.000000751482757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14.000000751482757</v>
      </c>
      <c r="V31">
        <f ca="1">_xlfn.RANK.EQ(Games[[#This Row],[Sort]],Games[Sort],1)</f>
        <v>14</v>
      </c>
      <c r="W31">
        <f ca="1">IF(ISNUMBER(Games[[#This Row],[QuadRank]]),_xlfn.RANK.EQ(Games[[#This Row],[QuadSort]],Games[QuadSort],1),"")</f>
        <v>14</v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2">
        <v>42</v>
      </c>
      <c r="S32" s="23">
        <v>42</v>
      </c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42.000002194561361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42.000002194561361</v>
      </c>
      <c r="V32">
        <f ca="1">_xlfn.RANK.EQ(Games[[#This Row],[Sort]],Games[Sort],1)</f>
        <v>42</v>
      </c>
      <c r="W32">
        <f ca="1">IF(ISNUMBER(Games[[#This Row],[QuadRank]]),_xlfn.RANK.EQ(Games[[#This Row],[QuadSort]],Games[QuadSort],1),"")</f>
        <v>42</v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2">
        <v>41</v>
      </c>
      <c r="S33" s="23">
        <v>41</v>
      </c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41.000000583711312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41.000000583711312</v>
      </c>
      <c r="V33">
        <f ca="1">_xlfn.RANK.EQ(Games[[#This Row],[Sort]],Games[Sort],1)</f>
        <v>41</v>
      </c>
      <c r="W33">
        <f ca="1">IF(ISNUMBER(Games[[#This Row],[QuadRank]]),_xlfn.RANK.EQ(Games[[#This Row],[QuadSort]],Games[QuadSort],1),"")</f>
        <v>41</v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2">
        <v>40</v>
      </c>
      <c r="S34" s="23">
        <v>40</v>
      </c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40.000001652347017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40.000001652347017</v>
      </c>
      <c r="V34">
        <f ca="1">_xlfn.RANK.EQ(Games[[#This Row],[Sort]],Games[Sort],1)</f>
        <v>40</v>
      </c>
      <c r="W34">
        <f ca="1">IF(ISNUMBER(Games[[#This Row],[QuadRank]]),_xlfn.RANK.EQ(Games[[#This Row],[QuadSort]],Games[QuadSort],1),"")</f>
        <v>40</v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2">
        <v>17</v>
      </c>
      <c r="S35" s="23">
        <v>17</v>
      </c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17.000000355699591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17.000000355699591</v>
      </c>
      <c r="V35">
        <f ca="1">_xlfn.RANK.EQ(Games[[#This Row],[Sort]],Games[Sort],1)</f>
        <v>17</v>
      </c>
      <c r="W35">
        <f ca="1">IF(ISNUMBER(Games[[#This Row],[QuadRank]]),_xlfn.RANK.EQ(Games[[#This Row],[QuadSort]],Games[QuadSort],1),"")</f>
        <v>17</v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2">
        <v>39</v>
      </c>
      <c r="S36" s="23">
        <v>39</v>
      </c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39.00000148457557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39.00000148457557</v>
      </c>
      <c r="V36">
        <f ca="1">_xlfn.RANK.EQ(Games[[#This Row],[Sort]],Games[Sort],1)</f>
        <v>39</v>
      </c>
      <c r="W36">
        <f ca="1">IF(ISNUMBER(Games[[#This Row],[QuadRank]]),_xlfn.RANK.EQ(Games[[#This Row],[QuadSort]],Games[QuadSort],1),"")</f>
        <v>39</v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2">
        <v>38</v>
      </c>
      <c r="S37" s="23">
        <v>38</v>
      </c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38.000001694813427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38.000001694813427</v>
      </c>
      <c r="V37">
        <f ca="1">_xlfn.RANK.EQ(Games[[#This Row],[Sort]],Games[Sort],1)</f>
        <v>38</v>
      </c>
      <c r="W37">
        <f ca="1">IF(ISNUMBER(Games[[#This Row],[QuadRank]]),_xlfn.RANK.EQ(Games[[#This Row],[QuadSort]],Games[QuadSort],1),"")</f>
        <v>38</v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2">
        <v>70</v>
      </c>
      <c r="S38" s="23">
        <v>70</v>
      </c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70.000000712261581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70.000000712261581</v>
      </c>
      <c r="V38">
        <f ca="1">_xlfn.RANK.EQ(Games[[#This Row],[Sort]],Games[Sort],1)</f>
        <v>70</v>
      </c>
      <c r="W38">
        <f ca="1">IF(ISNUMBER(Games[[#This Row],[QuadRank]]),_xlfn.RANK.EQ(Games[[#This Row],[QuadSort]],Games[QuadSort],1),"")</f>
        <v>70</v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2">
        <v>71</v>
      </c>
      <c r="S39" s="23">
        <v>71</v>
      </c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71.000002529783089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71.000002529783089</v>
      </c>
      <c r="V39">
        <f ca="1">_xlfn.RANK.EQ(Games[[#This Row],[Sort]],Games[Sort],1)</f>
        <v>71</v>
      </c>
      <c r="W39">
        <f ca="1">IF(ISNUMBER(Games[[#This Row],[QuadRank]]),_xlfn.RANK.EQ(Games[[#This Row],[QuadSort]],Games[QuadSort],1),"")</f>
        <v>71</v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>
        <v>2</v>
      </c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2">
        <v>72</v>
      </c>
      <c r="S40" s="23">
        <v>72</v>
      </c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72.000001547338286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72.000001547338286</v>
      </c>
      <c r="V40">
        <f ca="1">_xlfn.RANK.EQ(Games[[#This Row],[Sort]],Games[Sort],1)</f>
        <v>72</v>
      </c>
      <c r="W40">
        <f ca="1">IF(ISNUMBER(Games[[#This Row],[QuadRank]]),_xlfn.RANK.EQ(Games[[#This Row],[QuadSort]],Games[QuadSort],1),"")</f>
        <v>72</v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2">
        <v>73</v>
      </c>
      <c r="S41" s="23">
        <v>73</v>
      </c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73.00000025069086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73.00000025069086</v>
      </c>
      <c r="V41">
        <f ca="1">_xlfn.RANK.EQ(Games[[#This Row],[Sort]],Games[Sort],1)</f>
        <v>73</v>
      </c>
      <c r="W41">
        <f ca="1">IF(ISNUMBER(Games[[#This Row],[QuadRank]]),_xlfn.RANK.EQ(Games[[#This Row],[QuadSort]],Games[QuadSort],1),"")</f>
        <v>73</v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2">
        <v>74</v>
      </c>
      <c r="S42" s="23">
        <v>74</v>
      </c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74.000001379566839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74.000001379566839</v>
      </c>
      <c r="V42">
        <f ca="1">_xlfn.RANK.EQ(Games[[#This Row],[Sort]],Games[Sort],1)</f>
        <v>74</v>
      </c>
      <c r="W42">
        <f ca="1">IF(ISNUMBER(Games[[#This Row],[QuadRank]]),_xlfn.RANK.EQ(Games[[#This Row],[QuadSort]],Games[QuadSort],1),"")</f>
        <v>74</v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2">
        <v>75</v>
      </c>
      <c r="S43" s="23">
        <v>75</v>
      </c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75.000001311193927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75.000001311193927</v>
      </c>
      <c r="V43">
        <f ca="1">_xlfn.RANK.EQ(Games[[#This Row],[Sort]],Games[Sort],1)</f>
        <v>75</v>
      </c>
      <c r="W43">
        <f ca="1">IF(ISNUMBER(Games[[#This Row],[QuadRank]]),_xlfn.RANK.EQ(Games[[#This Row],[QuadSort]],Games[QuadSort],1),"")</f>
        <v>75</v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2">
        <v>76</v>
      </c>
      <c r="S44" s="23">
        <v>76</v>
      </c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76.000000014546501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76.000000014546501</v>
      </c>
      <c r="V44">
        <f ca="1">_xlfn.RANK.EQ(Games[[#This Row],[Sort]],Games[Sort],1)</f>
        <v>76</v>
      </c>
      <c r="W44">
        <f ca="1">IF(ISNUMBER(Games[[#This Row],[QuadRank]]),_xlfn.RANK.EQ(Games[[#This Row],[QuadSort]],Games[QuadSort],1),"")</f>
        <v>76</v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>
        <v>10</v>
      </c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2">
        <v>77</v>
      </c>
      <c r="S45" s="23">
        <v>77</v>
      </c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77.000000160977677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77.000000160977677</v>
      </c>
      <c r="V45">
        <f ca="1">_xlfn.RANK.EQ(Games[[#This Row],[Sort]],Games[Sort],1)</f>
        <v>77</v>
      </c>
      <c r="W45">
        <f ca="1">IF(ISNUMBER(Games[[#This Row],[QuadRank]]),_xlfn.RANK.EQ(Games[[#This Row],[QuadSort]],Games[QuadSort],1),"")</f>
        <v>77</v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2">
        <v>78</v>
      </c>
      <c r="S46" s="23">
        <v>78</v>
      </c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78.000002292701822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78.000002292701822</v>
      </c>
      <c r="V46">
        <f ca="1">_xlfn.RANK.EQ(Games[[#This Row],[Sort]],Games[Sort],1)</f>
        <v>78</v>
      </c>
      <c r="W46">
        <f ca="1">IF(ISNUMBER(Games[[#This Row],[QuadRank]]),_xlfn.RANK.EQ(Games[[#This Row],[QuadSort]],Games[QuadSort],1),"")</f>
        <v>78</v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2">
        <v>79</v>
      </c>
      <c r="S47" s="23">
        <v>79</v>
      </c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79.000000681851773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79.000000681851773</v>
      </c>
      <c r="V47">
        <f ca="1">_xlfn.RANK.EQ(Games[[#This Row],[Sort]],Games[Sort],1)</f>
        <v>79</v>
      </c>
      <c r="W47">
        <f ca="1">IF(ISNUMBER(Games[[#This Row],[QuadRank]]),_xlfn.RANK.EQ(Games[[#This Row],[QuadSort]],Games[QuadSort],1),"")</f>
        <v>79</v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2">
        <v>69</v>
      </c>
      <c r="S48" s="23">
        <v>69</v>
      </c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69.000000119507305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69.000000119507305</v>
      </c>
      <c r="V48">
        <f ca="1">_xlfn.RANK.EQ(Games[[#This Row],[Sort]],Games[Sort],1)</f>
        <v>69</v>
      </c>
      <c r="W48">
        <f ca="1">IF(ISNUMBER(Games[[#This Row],[QuadRank]]),_xlfn.RANK.EQ(Games[[#This Row],[QuadSort]],Games[QuadSort],1),"")</f>
        <v>69</v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2">
        <v>6</v>
      </c>
      <c r="S49" s="23">
        <v>6</v>
      </c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6.0000012061851962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6.0000012061851962</v>
      </c>
      <c r="V49">
        <f ca="1">_xlfn.RANK.EQ(Games[[#This Row],[Sort]],Games[Sort],1)</f>
        <v>6</v>
      </c>
      <c r="W49">
        <f ca="1">IF(ISNUMBER(Games[[#This Row],[QuadRank]]),_xlfn.RANK.EQ(Games[[#This Row],[QuadSort]],Games[QuadSort],1),"")</f>
        <v>6</v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2">
        <v>12</v>
      </c>
      <c r="S50" s="23">
        <v>12</v>
      </c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12.000000604415968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12.000000604415968</v>
      </c>
      <c r="V50">
        <f ca="1">_xlfn.RANK.EQ(Games[[#This Row],[Sort]],Games[Sort],1)</f>
        <v>12</v>
      </c>
      <c r="W50">
        <f ca="1">IF(ISNUMBER(Games[[#This Row],[QuadRank]]),_xlfn.RANK.EQ(Games[[#This Row],[QuadSort]],Games[QuadSort],1),"")</f>
        <v>12</v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2">
        <v>37</v>
      </c>
      <c r="S51" s="23">
        <v>37</v>
      </c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37.000001038413757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37.000001038413757</v>
      </c>
      <c r="V51">
        <f ca="1">_xlfn.RANK.EQ(Games[[#This Row],[Sort]],Games[Sort],1)</f>
        <v>37</v>
      </c>
      <c r="W51">
        <f ca="1">IF(ISNUMBER(Games[[#This Row],[QuadRank]]),_xlfn.RANK.EQ(Games[[#This Row],[QuadSort]],Games[QuadSort],1),"")</f>
        <v>37</v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2">
        <v>8</v>
      </c>
      <c r="S52" s="23">
        <v>8</v>
      </c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8.000002107049454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8.000002107049454</v>
      </c>
      <c r="V52">
        <f ca="1">_xlfn.RANK.EQ(Games[[#This Row],[Sort]],Games[Sort],1)</f>
        <v>8</v>
      </c>
      <c r="W52">
        <f ca="1">IF(ISNUMBER(Games[[#This Row],[QuadRank]]),_xlfn.RANK.EQ(Games[[#This Row],[QuadSort]],Games[QuadSort],1),"")</f>
        <v>8</v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2">
        <v>36</v>
      </c>
      <c r="S53" s="23">
        <v>36</v>
      </c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36.000000810402028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36.000000810402028</v>
      </c>
      <c r="V53">
        <f ca="1">_xlfn.RANK.EQ(Games[[#This Row],[Sort]],Games[Sort],1)</f>
        <v>36</v>
      </c>
      <c r="W53">
        <f ca="1">IF(ISNUMBER(Games[[#This Row],[QuadRank]]),_xlfn.RANK.EQ(Games[[#This Row],[QuadSort]],Games[QuadSort],1),"")</f>
        <v>36</v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2">
        <v>35</v>
      </c>
      <c r="S54" s="23">
        <v>35</v>
      </c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35.000001939278015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35.000001939278015</v>
      </c>
      <c r="V54">
        <f ca="1">_xlfn.RANK.EQ(Games[[#This Row],[Sort]],Games[Sort],1)</f>
        <v>35</v>
      </c>
      <c r="W54">
        <f ca="1">IF(ISNUMBER(Games[[#This Row],[QuadRank]]),_xlfn.RANK.EQ(Games[[#This Row],[QuadSort]],Games[QuadSort],1),"")</f>
        <v>35</v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2">
        <v>9</v>
      </c>
      <c r="S55" s="23">
        <v>9</v>
      </c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9.0000025452990347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9.0000025452990347</v>
      </c>
      <c r="V55">
        <f ca="1">_xlfn.RANK.EQ(Games[[#This Row],[Sort]],Games[Sort],1)</f>
        <v>9</v>
      </c>
      <c r="W55">
        <f ca="1">IF(ISNUMBER(Games[[#This Row],[QuadRank]]),_xlfn.RANK.EQ(Games[[#This Row],[QuadSort]],Games[QuadSort],1),"")</f>
        <v>9</v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2">
        <v>34</v>
      </c>
      <c r="S56" s="23">
        <v>34</v>
      </c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34.000000934448984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34.000000934448984</v>
      </c>
      <c r="V56">
        <f ca="1">_xlfn.RANK.EQ(Games[[#This Row],[Sort]],Games[Sort],1)</f>
        <v>34</v>
      </c>
      <c r="W56">
        <f ca="1">IF(ISNUMBER(Games[[#This Row],[QuadRank]]),_xlfn.RANK.EQ(Games[[#This Row],[QuadSort]],Games[QuadSort],1),"")</f>
        <v>34</v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2">
        <v>33</v>
      </c>
      <c r="S57" s="23">
        <v>33</v>
      </c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33.000002377527593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33.000002377527593</v>
      </c>
      <c r="V57">
        <f ca="1">_xlfn.RANK.EQ(Games[[#This Row],[Sort]],Games[Sort],1)</f>
        <v>33</v>
      </c>
      <c r="W57">
        <f ca="1">IF(ISNUMBER(Games[[#This Row],[QuadRank]]),_xlfn.RANK.EQ(Games[[#This Row],[QuadSort]],Games[QuadSort],1),"")</f>
        <v>33</v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2">
        <v>2</v>
      </c>
      <c r="S58" s="23">
        <v>2</v>
      </c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2.0000021495158689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2.0000021495158689</v>
      </c>
      <c r="V58">
        <f ca="1">_xlfn.RANK.EQ(Games[[#This Row],[Sort]],Games[Sort],1)</f>
        <v>2</v>
      </c>
      <c r="W58">
        <f ca="1">IF(ISNUMBER(Games[[#This Row],[QuadRank]]),_xlfn.RANK.EQ(Games[[#This Row],[QuadSort]],Games[QuadSort],1),"")</f>
        <v>2</v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2">
        <v>3</v>
      </c>
      <c r="S59" s="23">
        <v>3</v>
      </c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3.0000008528684456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3.0000008528684456</v>
      </c>
      <c r="V59">
        <f ca="1">_xlfn.RANK.EQ(Games[[#This Row],[Sort]],Games[Sort],1)</f>
        <v>3</v>
      </c>
      <c r="W59">
        <f ca="1">IF(ISNUMBER(Games[[#This Row],[QuadRank]]),_xlfn.RANK.EQ(Games[[#This Row],[QuadSort]],Games[QuadSort],1),"")</f>
        <v>3</v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2">
        <v>31</v>
      </c>
      <c r="S60" s="23">
        <v>31</v>
      </c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31.000000244759498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31.000000244759498</v>
      </c>
      <c r="V60">
        <f ca="1">_xlfn.RANK.EQ(Games[[#This Row],[Sort]],Games[Sort],1)</f>
        <v>31</v>
      </c>
      <c r="W60">
        <f ca="1">IF(ISNUMBER(Games[[#This Row],[QuadRank]]),_xlfn.RANK.EQ(Games[[#This Row],[QuadSort]],Games[QuadSort],1),"")</f>
        <v>31</v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2">
        <v>4</v>
      </c>
      <c r="S61" s="23">
        <v>4</v>
      </c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4.0000020020407243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4.0000020020407243</v>
      </c>
      <c r="V61">
        <f ca="1">_xlfn.RANK.EQ(Games[[#This Row],[Sort]],Games[Sort],1)</f>
        <v>4</v>
      </c>
      <c r="W61">
        <f ca="1">IF(ISNUMBER(Games[[#This Row],[QuadRank]]),_xlfn.RANK.EQ(Games[[#This Row],[QuadSort]],Games[QuadSort],1),"")</f>
        <v>4</v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2">
        <v>7</v>
      </c>
      <c r="S62" s="23">
        <v>7</v>
      </c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7.0000024583331841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7.0000024583331841</v>
      </c>
      <c r="V62">
        <f ca="1">_xlfn.RANK.EQ(Games[[#This Row],[Sort]],Games[Sort],1)</f>
        <v>7</v>
      </c>
      <c r="W62">
        <f ca="1">IF(ISNUMBER(Games[[#This Row],[QuadRank]]),_xlfn.RANK.EQ(Games[[#This Row],[QuadSort]],Games[QuadSort],1),"")</f>
        <v>7</v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2">
        <v>68</v>
      </c>
      <c r="S63" s="23">
        <v>68</v>
      </c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68.000001834269284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68.000001834269284</v>
      </c>
      <c r="V63">
        <f ca="1">_xlfn.RANK.EQ(Games[[#This Row],[Sort]],Games[Sort],1)</f>
        <v>68</v>
      </c>
      <c r="W63">
        <f ca="1">IF(ISNUMBER(Games[[#This Row],[QuadRank]]),_xlfn.RANK.EQ(Games[[#This Row],[QuadSort]],Games[QuadSort],1),"")</f>
        <v>68</v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2">
        <v>67</v>
      </c>
      <c r="S64" s="23">
        <v>67</v>
      </c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67.000000601428539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67.000000601428539</v>
      </c>
      <c r="V64">
        <f ca="1">_xlfn.RANK.EQ(Games[[#This Row],[Sort]],Games[Sort],1)</f>
        <v>67</v>
      </c>
      <c r="W64">
        <f ca="1">IF(ISNUMBER(Games[[#This Row],[QuadRank]]),_xlfn.RANK.EQ(Games[[#This Row],[QuadSort]],Games[QuadSort],1),"")</f>
        <v>67</v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2">
        <v>66</v>
      </c>
      <c r="S65" s="23">
        <v>66</v>
      </c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66.000001355861613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66.000001355861613</v>
      </c>
      <c r="V65">
        <f ca="1">_xlfn.RANK.EQ(Games[[#This Row],[Sort]],Games[Sort],1)</f>
        <v>66</v>
      </c>
      <c r="W65">
        <f ca="1">IF(ISNUMBER(Games[[#This Row],[QuadRank]]),_xlfn.RANK.EQ(Games[[#This Row],[QuadSort]],Games[QuadSort],1),"")</f>
        <v>66</v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2">
        <v>65</v>
      </c>
      <c r="S66" s="23">
        <v>65</v>
      </c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65.000000433657092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65.000000433657092</v>
      </c>
      <c r="V66">
        <f ca="1">_xlfn.RANK.EQ(Games[[#This Row],[Sort]],Games[Sort],1)</f>
        <v>65</v>
      </c>
      <c r="W66">
        <f ca="1">IF(ISNUMBER(Games[[#This Row],[QuadRank]]),_xlfn.RANK.EQ(Games[[#This Row],[QuadSort]],Games[QuadSort],1),"")</f>
        <v>65</v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2">
        <v>64</v>
      </c>
      <c r="S67" s="23">
        <v>64</v>
      </c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64.00000150229279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64.00000150229279</v>
      </c>
      <c r="V67">
        <f ca="1">_xlfn.RANK.EQ(Games[[#This Row],[Sort]],Games[Sort],1)</f>
        <v>64</v>
      </c>
      <c r="W67">
        <f ca="1">IF(ISNUMBER(Games[[#This Row],[QuadRank]]),_xlfn.RANK.EQ(Games[[#This Row],[QuadSort]],Games[QuadSort],1),"")</f>
        <v>64</v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2">
        <v>5</v>
      </c>
      <c r="S68" s="23">
        <v>5</v>
      </c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5.0000002056453692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5.0000002056453692</v>
      </c>
      <c r="V68">
        <f ca="1">_xlfn.RANK.EQ(Games[[#This Row],[Sort]],Games[Sort],1)</f>
        <v>5</v>
      </c>
      <c r="W68">
        <f ca="1">IF(ISNUMBER(Games[[#This Row],[QuadRank]]),_xlfn.RANK.EQ(Games[[#This Row],[QuadSort]],Games[QuadSort],1),"")</f>
        <v>5</v>
      </c>
      <c r="X68" s="5"/>
      <c r="Y68" s="5"/>
    </row>
    <row r="69" spans="10:25" ht="14.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2">
        <v>11</v>
      </c>
      <c r="S69" s="24">
        <v>11</v>
      </c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11.000002337262448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11.000002337262448</v>
      </c>
      <c r="V69">
        <f ca="1">_xlfn.RANK.EQ(Games[[#This Row],[Sort]],Games[Sort],1)</f>
        <v>11</v>
      </c>
      <c r="W69">
        <f ca="1">IF(ISNUMBER(Games[[#This Row],[QuadRank]]),_xlfn.RANK.EQ(Games[[#This Row],[QuadSort]],Games[QuadSort],1),"")</f>
        <v>11</v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2">
        <v>30</v>
      </c>
      <c r="S70" s="23">
        <v>30</v>
      </c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30.00000254854427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30.00000254854427</v>
      </c>
      <c r="V70">
        <f ca="1">_xlfn.RANK.EQ(Games[[#This Row],[Sort]],Games[Sort],1)</f>
        <v>30</v>
      </c>
      <c r="W70">
        <f ca="1">IF(ISNUMBER(Games[[#This Row],[QuadRank]]),_xlfn.RANK.EQ(Games[[#This Row],[QuadSort]],Games[QuadSort],1),"")</f>
        <v>30</v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2">
        <v>29</v>
      </c>
      <c r="S71" s="23">
        <v>29</v>
      </c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29.000001940542372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29.000001940542372</v>
      </c>
      <c r="V71">
        <f ca="1">_xlfn.RANK.EQ(Games[[#This Row],[Sort]],Games[Sort],1)</f>
        <v>29</v>
      </c>
      <c r="W71">
        <f ca="1">IF(ISNUMBER(Games[[#This Row],[QuadRank]]),_xlfn.RANK.EQ(Games[[#This Row],[QuadSort]],Games[QuadSort],1),"")</f>
        <v>29</v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2">
        <v>26</v>
      </c>
      <c r="S72" s="23">
        <v>26</v>
      </c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26.000000269344991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26.000000269344991</v>
      </c>
      <c r="V72">
        <f ca="1">_xlfn.RANK.EQ(Games[[#This Row],[Sort]],Games[Sort],1)</f>
        <v>26</v>
      </c>
      <c r="W72">
        <f ca="1">IF(ISNUMBER(Games[[#This Row],[QuadRank]]),_xlfn.RANK.EQ(Games[[#This Row],[QuadSort]],Games[QuadSort],1),"")</f>
        <v>26</v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2">
        <v>24</v>
      </c>
      <c r="S73" s="23">
        <v>24</v>
      </c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24.000002086866502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24.000002086866502</v>
      </c>
      <c r="V73">
        <f ca="1">_xlfn.RANK.EQ(Games[[#This Row],[Sort]],Games[Sort],1)</f>
        <v>24</v>
      </c>
      <c r="W73">
        <f ca="1">IF(ISNUMBER(Games[[#This Row],[QuadRank]]),_xlfn.RANK.EQ(Games[[#This Row],[QuadSort]],Games[QuadSort],1),"")</f>
        <v>24</v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2">
        <v>22</v>
      </c>
      <c r="S74" s="23">
        <v>22</v>
      </c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22.000001858854777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22.000001858854777</v>
      </c>
      <c r="V74">
        <f ca="1">_xlfn.RANK.EQ(Games[[#This Row],[Sort]],Games[Sort],1)</f>
        <v>22</v>
      </c>
      <c r="W74">
        <f ca="1">IF(ISNUMBER(Games[[#This Row],[QuadRank]]),_xlfn.RANK.EQ(Games[[#This Row],[QuadSort]],Games[QuadSort],1),"")</f>
        <v>22</v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2">
        <v>23</v>
      </c>
      <c r="S75" s="23">
        <v>23</v>
      </c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23.000000562207354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23.000000562207354</v>
      </c>
      <c r="V75">
        <f ca="1">_xlfn.RANK.EQ(Games[[#This Row],[Sort]],Games[Sort],1)</f>
        <v>23</v>
      </c>
      <c r="W75">
        <f ca="1">IF(ISNUMBER(Games[[#This Row],[QuadRank]]),_xlfn.RANK.EQ(Games[[#This Row],[QuadSort]],Games[QuadSort],1),"")</f>
        <v>23</v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2">
        <v>21</v>
      </c>
      <c r="S76" s="23">
        <v>21</v>
      </c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21.000002379728862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21.000002379728862</v>
      </c>
      <c r="V76">
        <f ca="1">_xlfn.RANK.EQ(Games[[#This Row],[Sort]],Games[Sort],1)</f>
        <v>21</v>
      </c>
      <c r="W76">
        <f ca="1">IF(ISNUMBER(Games[[#This Row],[QuadRank]]),_xlfn.RANK.EQ(Games[[#This Row],[QuadSort]],Games[QuadSort],1),"")</f>
        <v>21</v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2">
        <v>18</v>
      </c>
      <c r="S77" s="23">
        <v>18</v>
      </c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18.000000458242589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18.000000458242589</v>
      </c>
      <c r="V77">
        <f ca="1">_xlfn.RANK.EQ(Games[[#This Row],[Sort]],Games[Sort],1)</f>
        <v>18</v>
      </c>
      <c r="W77">
        <f ca="1">IF(ISNUMBER(Games[[#This Row],[QuadRank]]),_xlfn.RANK.EQ(Games[[#This Row],[QuadSort]],Games[QuadSort],1),"")</f>
        <v>18</v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2">
        <v>20</v>
      </c>
      <c r="S78" s="23">
        <v>20</v>
      </c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20.000002589966719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20.000002589966719</v>
      </c>
      <c r="V78">
        <f ca="1">_xlfn.RANK.EQ(Games[[#This Row],[Sort]],Games[Sort],1)</f>
        <v>20</v>
      </c>
      <c r="W78">
        <f ca="1">IF(ISNUMBER(Games[[#This Row],[QuadRank]]),_xlfn.RANK.EQ(Games[[#This Row],[QuadSort]],Games[QuadSort],1),"")</f>
        <v>20</v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2">
        <v>19</v>
      </c>
      <c r="S79" s="23">
        <v>19</v>
      </c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19.000000604673769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19.000000604673769</v>
      </c>
      <c r="V79">
        <f ca="1">_xlfn.RANK.EQ(Games[[#This Row],[Sort]],Games[Sort],1)</f>
        <v>19</v>
      </c>
      <c r="W79">
        <f ca="1">IF(ISNUMBER(Games[[#This Row],[QuadRank]]),_xlfn.RANK.EQ(Games[[#This Row],[QuadSort]],Games[QuadSort],1),"")</f>
        <v>19</v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2">
        <v>16</v>
      </c>
      <c r="S80" s="23">
        <v>16</v>
      </c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16.000000310767444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16.000000310767444</v>
      </c>
      <c r="V80">
        <f ca="1">_xlfn.RANK.EQ(Games[[#This Row],[Sort]],Games[Sort],1)</f>
        <v>16</v>
      </c>
      <c r="W80">
        <f ca="1">IF(ISNUMBER(Games[[#This Row],[QuadRank]]),_xlfn.RANK.EQ(Games[[#This Row],[QuadSort]],Games[QuadSort],1),"")</f>
        <v>16</v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2">
        <v>13</v>
      </c>
      <c r="S81" s="23">
        <v>13</v>
      </c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13.00000106520052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13.00000106520052</v>
      </c>
      <c r="V81">
        <f ca="1">_xlfn.RANK.EQ(Games[[#This Row],[Sort]],Games[Sort],1)</f>
        <v>13</v>
      </c>
      <c r="W81">
        <f ca="1">IF(ISNUMBER(Games[[#This Row],[QuadRank]]),_xlfn.RANK.EQ(Games[[#This Row],[QuadSort]],Games[QuadSort],1),"")</f>
        <v>13</v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2">
        <v>15</v>
      </c>
      <c r="S82" s="23">
        <v>15</v>
      </c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15.000002062650042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15.000002062650042</v>
      </c>
      <c r="V82">
        <f ca="1">_xlfn.RANK.EQ(Games[[#This Row],[Sort]],Games[Sort],1)</f>
        <v>15</v>
      </c>
      <c r="W82">
        <f ca="1">IF(ISNUMBER(Games[[#This Row],[QuadRank]]),_xlfn.RANK.EQ(Games[[#This Row],[QuadSort]],Games[QuadSort],1),"")</f>
        <v>15</v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2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2026-09-27T18:37:23Z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