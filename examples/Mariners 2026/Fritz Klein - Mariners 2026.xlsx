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8_{4DEAE264-EA8C-4C9B-A0F5-FCA6BC8E3BA1}" xr6:coauthVersionLast="47" xr6:coauthVersionMax="47" xr10:uidLastSave="{00000000-0000-0000-0000-000000000000}"/>
  <bookViews>
    <workbookView xWindow="17780" yWindow="269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W2" i="1" s="1"/>
  <c r="U6" i="1" a="1"/>
  <c r="U6" i="1" s="1"/>
  <c r="U7" i="1" a="1"/>
  <c r="U7" i="1" s="1"/>
  <c r="W6" i="1" s="1"/>
  <c r="U8" i="1" a="1"/>
  <c r="U8" i="1" s="1"/>
  <c r="W8" i="1" s="1"/>
  <c r="U9" i="1" a="1"/>
  <c r="U9" i="1" s="1"/>
  <c r="W9" i="1" s="1"/>
  <c r="U10" i="1" a="1"/>
  <c r="U10" i="1" s="1"/>
  <c r="U11" i="1" a="1"/>
  <c r="U11" i="1" s="1"/>
  <c r="U12" i="1" a="1"/>
  <c r="U12" i="1" s="1"/>
  <c r="W17" i="1" s="1"/>
  <c r="U13" i="1" a="1"/>
  <c r="U13" i="1" s="1"/>
  <c r="W20" i="1" s="1"/>
  <c r="U14" i="1" a="1"/>
  <c r="U14" i="1" s="1"/>
  <c r="W14" i="1" s="1"/>
  <c r="U15" i="1" a="1"/>
  <c r="U15" i="1" s="1"/>
  <c r="W21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W22" i="1" s="1"/>
  <c r="U23" i="1" a="1"/>
  <c r="U23" i="1" s="1"/>
  <c r="W23" i="1" s="1"/>
  <c r="U24" i="1" a="1"/>
  <c r="U24" i="1" s="1"/>
  <c r="W24" i="1" s="1"/>
  <c r="U25" i="1" a="1"/>
  <c r="U25" i="1" s="1"/>
  <c r="W25" i="1" s="1"/>
  <c r="U26" i="1" a="1"/>
  <c r="U26" i="1" s="1"/>
  <c r="U27" i="1" a="1"/>
  <c r="U27" i="1" s="1"/>
  <c r="U28" i="1" a="1"/>
  <c r="U28" i="1" s="1"/>
  <c r="U29" i="1" a="1"/>
  <c r="U29" i="1" s="1"/>
  <c r="W29" i="1" s="1"/>
  <c r="U30" i="1" a="1"/>
  <c r="U30" i="1" s="1"/>
  <c r="U31" i="1" a="1"/>
  <c r="U31" i="1" s="1"/>
  <c r="W31" i="1" s="1"/>
  <c r="U32" i="1" a="1"/>
  <c r="U32" i="1" s="1"/>
  <c r="W32" i="1" s="1"/>
  <c r="U33" i="1" a="1"/>
  <c r="U33" i="1" s="1"/>
  <c r="W33" i="1" s="1"/>
  <c r="U34" i="1" a="1"/>
  <c r="U34" i="1" s="1"/>
  <c r="W34" i="1" s="1"/>
  <c r="U35" i="1" a="1"/>
  <c r="U35" i="1" s="1"/>
  <c r="U36" i="1" a="1"/>
  <c r="U36" i="1" s="1"/>
  <c r="W36" i="1" s="1"/>
  <c r="U37" i="1" a="1"/>
  <c r="U37" i="1" s="1"/>
  <c r="W37" i="1" s="1"/>
  <c r="U38" i="1" a="1"/>
  <c r="U38" i="1" s="1"/>
  <c r="W38" i="1" s="1"/>
  <c r="U39" i="1" a="1"/>
  <c r="U39" i="1" s="1"/>
  <c r="W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W46" i="1" s="1"/>
  <c r="U47" i="1" a="1"/>
  <c r="U47" i="1" s="1"/>
  <c r="W47" i="1" s="1"/>
  <c r="U48" i="1" a="1"/>
  <c r="U48" i="1" s="1"/>
  <c r="W48" i="1" s="1"/>
  <c r="U49" i="1" a="1"/>
  <c r="U49" i="1" s="1"/>
  <c r="W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W54" i="1" s="1"/>
  <c r="U55" i="1" a="1"/>
  <c r="U55" i="1" s="1"/>
  <c r="W55" i="1" s="1"/>
  <c r="U56" i="1" a="1"/>
  <c r="U56" i="1" s="1"/>
  <c r="W56" i="1" s="1"/>
  <c r="U57" i="1" a="1"/>
  <c r="U57" i="1" s="1"/>
  <c r="W57" i="1" s="1"/>
  <c r="U58" i="1" a="1"/>
  <c r="U58" i="1" s="1"/>
  <c r="W58" i="1" s="1"/>
  <c r="U59" i="1" a="1"/>
  <c r="U59" i="1" s="1"/>
  <c r="W59" i="1" s="1"/>
  <c r="U60" i="1" a="1"/>
  <c r="U60" i="1" s="1"/>
  <c r="W60" i="1" s="1"/>
  <c r="U61" i="1" a="1"/>
  <c r="U61" i="1" s="1"/>
  <c r="W61" i="1" s="1"/>
  <c r="U62" i="1" a="1"/>
  <c r="U62" i="1" s="1"/>
  <c r="W62" i="1" s="1"/>
  <c r="U63" i="1" a="1"/>
  <c r="U63" i="1" s="1"/>
  <c r="W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W68" i="1" s="1"/>
  <c r="U69" i="1" a="1"/>
  <c r="U69" i="1" s="1"/>
  <c r="U70" i="1" a="1"/>
  <c r="U70" i="1" s="1"/>
  <c r="W70" i="1" s="1"/>
  <c r="U71" i="1" a="1"/>
  <c r="U71" i="1" s="1"/>
  <c r="W71" i="1" s="1"/>
  <c r="U72" i="1" a="1"/>
  <c r="U72" i="1" s="1"/>
  <c r="W72" i="1" s="1"/>
  <c r="U73" i="1" a="1"/>
  <c r="U73" i="1" s="1"/>
  <c r="W73" i="1" s="1"/>
  <c r="U74" i="1" a="1"/>
  <c r="U74" i="1" s="1"/>
  <c r="U75" i="1" a="1"/>
  <c r="U75" i="1" s="1"/>
  <c r="U76" i="1" a="1"/>
  <c r="U76" i="1" s="1"/>
  <c r="U77" i="1" a="1"/>
  <c r="U77" i="1" s="1"/>
  <c r="W77" i="1" s="1"/>
  <c r="U78" i="1" a="1"/>
  <c r="U78" i="1" s="1"/>
  <c r="W78" i="1" s="1"/>
  <c r="U79" i="1" a="1"/>
  <c r="U79" i="1" s="1"/>
  <c r="W79" i="1" s="1"/>
  <c r="U80" i="1" a="1"/>
  <c r="U80" i="1" s="1"/>
  <c r="W80" i="1" s="1"/>
  <c r="U81" i="1" a="1"/>
  <c r="U81" i="1" s="1"/>
  <c r="W81" i="1" s="1"/>
  <c r="U82" i="1" a="1"/>
  <c r="U82" i="1" s="1"/>
  <c r="W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W43" i="1" l="1"/>
  <c r="W13" i="1"/>
  <c r="W66" i="1"/>
  <c r="W42" i="1"/>
  <c r="W18" i="1"/>
  <c r="W67" i="1"/>
  <c r="W19" i="1"/>
  <c r="W10" i="1"/>
  <c r="W11" i="1"/>
  <c r="W16" i="1"/>
  <c r="W41" i="1"/>
  <c r="W64" i="1"/>
  <c r="W15" i="1"/>
  <c r="W44" i="1"/>
  <c r="W40" i="1"/>
  <c r="W12" i="1"/>
  <c r="W76" i="1"/>
  <c r="W52" i="1"/>
  <c r="W28" i="1"/>
  <c r="W4" i="1"/>
  <c r="W35" i="1"/>
  <c r="W27" i="1"/>
  <c r="W7" i="1"/>
  <c r="W75" i="1"/>
  <c r="W51" i="1"/>
  <c r="W3" i="1"/>
  <c r="W65" i="1"/>
  <c r="W53" i="1"/>
  <c r="W5" i="1"/>
  <c r="W74" i="1"/>
  <c r="W50" i="1"/>
  <c r="W26" i="1"/>
  <c r="W69" i="1"/>
  <c r="W45" i="1"/>
  <c r="W30" i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<sst xmlns="http://schemas.openxmlformats.org/spreadsheetml/2006/main" count="283" uniqueCount="109">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</sst>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03EADD3-2E7A-406A-8A7B-8134D1181EF1}"/>
    <cellStyle name="Normal 3" xfId="2" xr:uid="{00000000-0005-0000-0000-000004000000}"/>
    <cellStyle name="Normal 3 2" xfId="8" xr:uid="{85A11FE2-D5C1-48F1-9F5B-3B6EA9A01029}"/>
    <cellStyle name="Normal 4" xfId="3" xr:uid="{00000000-0005-0000-0000-000005000000}"/>
    <cellStyle name="Normal 4 2" xfId="9" xr:uid="{0261C310-E9E1-4C0E-AFB5-72B09E96CC62}"/>
    <cellStyle name="Normal 5" xfId="5" xr:uid="{AF0439D6-8192-4E89-93DB-F527DA4E9322}"/>
    <cellStyle name="Normal 5 2" xfId="10" xr:uid="{DB1D6765-D2B8-46DD-A539-6F32B9D61255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32" activePane="bottomLeft" state="frozen"/>
      <selection pane="bottomLeft" activeCell="R2" sqref="R2:S82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5" t="s">
        <v>2</v>
      </c>
      <c r="K1" s="16" t="s">
        <v>0</v>
      </c>
      <c r="L1" s="17" t="s">
        <v>1</v>
      </c>
      <c r="M1" s="15" t="s">
        <v>4</v>
      </c>
      <c r="N1" s="17" t="s">
        <v>86</v>
      </c>
      <c r="O1" s="17" t="s">
        <v>88</v>
      </c>
      <c r="P1" s="17" t="s">
        <v>95</v>
      </c>
      <c r="Q1" s="17" t="s">
        <v>96</v>
      </c>
      <c r="R1" s="18" t="s">
        <v>3</v>
      </c>
      <c r="S1" s="18" t="s">
        <v>87</v>
      </c>
      <c r="T1" s="17" t="s">
        <v>75</v>
      </c>
      <c r="U1" s="17" t="s">
        <v>94</v>
      </c>
      <c r="V1" s="17" t="s">
        <v>89</v>
      </c>
      <c r="W1" s="17" t="s">
        <v>90</v>
      </c>
      <c r="X1" s="15" t="s">
        <v>92</v>
      </c>
      <c r="Y1" s="15" t="s">
        <v>93</v>
      </c>
      <c r="AA1" s="15" t="s">
        <v>91</v>
      </c>
      <c r="AB1" s="15" t="s">
        <v>76</v>
      </c>
      <c r="AC1" s="15" t="s">
        <v>77</v>
      </c>
      <c r="AD1" s="15" t="s">
        <v>82</v>
      </c>
      <c r="AE1" s="15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2">
        <v>67</v>
      </c>
      <c r="S2" s="23">
        <v>56</v>
      </c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67.000002599747532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56.000002599747532</v>
      </c>
      <c r="V2">
        <f ca="1">_xlfn.RANK.EQ(Games[[#This Row],[Sort]],Games[Sort],1)</f>
        <v>67</v>
      </c>
      <c r="W2">
        <f ca="1">IF(ISNUMBER(Games[[#This Row],[QuadRank]]),_xlfn.RANK.EQ(Games[[#This Row],[QuadSort]],Games[QuadSort],1),"")</f>
        <v>56</v>
      </c>
      <c r="X2" s="5" t="s">
        <v>38</v>
      </c>
      <c r="Y2" s="5"/>
      <c r="AA2" s="19" t="s">
        <v>79</v>
      </c>
      <c r="AB2" s="20">
        <v>14</v>
      </c>
      <c r="AC2" s="20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2">
        <v>66</v>
      </c>
      <c r="S3" s="23">
        <v>66</v>
      </c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66.000000280913895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66.000000280913895</v>
      </c>
      <c r="V3">
        <f ca="1">_xlfn.RANK.EQ(Games[[#This Row],[Sort]],Games[Sort],1)</f>
        <v>66</v>
      </c>
      <c r="W3">
        <f ca="1">IF(ISNUMBER(Games[[#This Row],[QuadRank]]),_xlfn.RANK.EQ(Games[[#This Row],[QuadSort]],Games[QuadSort],1),"")</f>
        <v>66</v>
      </c>
      <c r="X3" s="5" t="s">
        <v>39</v>
      </c>
      <c r="Y3" s="5"/>
      <c r="AA3" s="19" t="s">
        <v>99</v>
      </c>
      <c r="AB3" s="20">
        <v>0</v>
      </c>
      <c r="AC3" s="20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2">
        <v>65</v>
      </c>
      <c r="S4" s="23">
        <v>65</v>
      </c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65.000001005898781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65.000001005898781</v>
      </c>
      <c r="V4">
        <f ca="1">_xlfn.RANK.EQ(Games[[#This Row],[Sort]],Games[Sort],1)</f>
        <v>65</v>
      </c>
      <c r="W4">
        <f ca="1">IF(ISNUMBER(Games[[#This Row],[QuadRank]]),_xlfn.RANK.EQ(Games[[#This Row],[QuadSort]],Games[QuadSort],1),"")</f>
        <v>65</v>
      </c>
      <c r="X4" s="5" t="s">
        <v>40</v>
      </c>
      <c r="Y4" s="5"/>
      <c r="AA4" s="19" t="s">
        <v>100</v>
      </c>
      <c r="AB4" s="20">
        <v>5</v>
      </c>
      <c r="AC4" s="20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2">
        <v>64</v>
      </c>
      <c r="S5" s="23">
        <v>64</v>
      </c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64.000000311218301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64.000000311218301</v>
      </c>
      <c r="V5">
        <f ca="1">_xlfn.RANK.EQ(Games[[#This Row],[Sort]],Games[Sort],1)</f>
        <v>64</v>
      </c>
      <c r="W5">
        <f ca="1">IF(ISNUMBER(Games[[#This Row],[QuadRank]]),_xlfn.RANK.EQ(Games[[#This Row],[QuadSort]],Games[QuadSort],1),"")</f>
        <v>64</v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2">
        <v>63</v>
      </c>
      <c r="S6" s="23">
        <v>63</v>
      </c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63.000001517986142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63.000001517986142</v>
      </c>
      <c r="V6">
        <f ca="1">_xlfn.RANK.EQ(Games[[#This Row],[Sort]],Games[Sort],1)</f>
        <v>63</v>
      </c>
      <c r="W6">
        <f ca="1">IF(ISNUMBER(Games[[#This Row],[QuadRank]]),_xlfn.RANK.EQ(Games[[#This Row],[QuadSort]],Games[QuadSort],1),"")</f>
        <v>63</v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2">
        <v>78</v>
      </c>
      <c r="S7" s="23">
        <v>78</v>
      </c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78.0000019768258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78.0000019768258</v>
      </c>
      <c r="V7">
        <f ca="1">_xlfn.RANK.EQ(Games[[#This Row],[Sort]],Games[Sort],1)</f>
        <v>78</v>
      </c>
      <c r="W7">
        <f ca="1">IF(ISNUMBER(Games[[#This Row],[QuadRank]]),_xlfn.RANK.EQ(Games[[#This Row],[QuadSort]],Games[QuadSort],1),"")</f>
        <v>78</v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2">
        <v>7</v>
      </c>
      <c r="S8" s="23">
        <v>51</v>
      </c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7.0000009526161993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51.000000952616197</v>
      </c>
      <c r="V8">
        <f ca="1">_xlfn.RANK.EQ(Games[[#This Row],[Sort]],Games[Sort],1)</f>
        <v>7</v>
      </c>
      <c r="W8">
        <f ca="1">IF(ISNUMBER(Games[[#This Row],[QuadRank]]),_xlfn.RANK.EQ(Games[[#This Row],[QuadSort]],Games[QuadSort],1),"")</f>
        <v>51</v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2">
        <v>54</v>
      </c>
      <c r="S9" s="23">
        <v>40</v>
      </c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54.000000680178381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40.000000680178381</v>
      </c>
      <c r="V9">
        <f ca="1">_xlfn.RANK.EQ(Games[[#This Row],[Sort]],Games[Sort],1)</f>
        <v>54</v>
      </c>
      <c r="W9">
        <f ca="1">IF(ISNUMBER(Games[[#This Row],[QuadRank]]),_xlfn.RANK.EQ(Games[[#This Row],[QuadSort]],Games[QuadSort],1),"")</f>
        <v>40</v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2">
        <v>77</v>
      </c>
      <c r="S10" s="23">
        <v>77</v>
      </c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77.000001139018039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77.000001139018039</v>
      </c>
      <c r="V10">
        <f ca="1">_xlfn.RANK.EQ(Games[[#This Row],[Sort]],Games[Sort],1)</f>
        <v>77</v>
      </c>
      <c r="W10">
        <f ca="1">IF(ISNUMBER(Games[[#This Row],[QuadRank]]),_xlfn.RANK.EQ(Games[[#This Row],[QuadSort]],Games[QuadSort],1),"")</f>
        <v>77</v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2">
        <v>79</v>
      </c>
      <c r="S11" s="23">
        <v>79</v>
      </c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79.000000114808429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79.000000114808429</v>
      </c>
      <c r="V11">
        <f ca="1">_xlfn.RANK.EQ(Games[[#This Row],[Sort]],Games[Sort],1)</f>
        <v>79</v>
      </c>
      <c r="W11">
        <f ca="1">IF(ISNUMBER(Games[[#This Row],[QuadRank]]),_xlfn.RANK.EQ(Games[[#This Row],[QuadSort]],Games[QuadSort],1),"")</f>
        <v>79</v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2">
        <v>11</v>
      </c>
      <c r="S12" s="23">
        <v>50</v>
      </c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11.000000573648094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50.000000573648094</v>
      </c>
      <c r="V12">
        <f ca="1">_xlfn.RANK.EQ(Games[[#This Row],[Sort]],Games[Sort],1)</f>
        <v>11</v>
      </c>
      <c r="W12">
        <f ca="1">IF(ISNUMBER(Games[[#This Row],[QuadRank]]),_xlfn.RANK.EQ(Games[[#This Row],[QuadSort]],Games[QuadSort],1),"")</f>
        <v>50</v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2">
        <v>53</v>
      </c>
      <c r="S13" s="23">
        <v>39</v>
      </c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53.000001152329965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39.000001152329965</v>
      </c>
      <c r="V13">
        <f ca="1">_xlfn.RANK.EQ(Games[[#This Row],[Sort]],Games[Sort],1)</f>
        <v>53</v>
      </c>
      <c r="W13">
        <f ca="1">IF(ISNUMBER(Games[[#This Row],[QuadRank]]),_xlfn.RANK.EQ(Games[[#This Row],[QuadSort]],Games[QuadSort],1),"")</f>
        <v>39</v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2">
        <v>76</v>
      </c>
      <c r="S14" s="23">
        <v>76</v>
      </c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76.00000089943704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76.00000089943704</v>
      </c>
      <c r="V14">
        <f ca="1">_xlfn.RANK.EQ(Games[[#This Row],[Sort]],Games[Sort],1)</f>
        <v>76</v>
      </c>
      <c r="W14">
        <f ca="1">IF(ISNUMBER(Games[[#This Row],[QuadRank]]),_xlfn.RANK.EQ(Games[[#This Row],[QuadSort]],Games[QuadSort],1),"")</f>
        <v>76</v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2">
        <v>52</v>
      </c>
      <c r="S15" s="23">
        <v>7</v>
      </c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52.000000181368065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7.0000001813680628</v>
      </c>
      <c r="V15">
        <f ca="1">_xlfn.RANK.EQ(Games[[#This Row],[Sort]],Games[Sort],1)</f>
        <v>52</v>
      </c>
      <c r="W15">
        <f ca="1">IF(ISNUMBER(Games[[#This Row],[QuadRank]]),_xlfn.RANK.EQ(Games[[#This Row],[QuadSort]],Games[QuadSort],1),"")</f>
        <v>7</v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2">
        <v>34</v>
      </c>
      <c r="S16" s="23">
        <v>52</v>
      </c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34.000002123256984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52.000002123256984</v>
      </c>
      <c r="V16">
        <f ca="1">_xlfn.RANK.EQ(Games[[#This Row],[Sort]],Games[Sort],1)</f>
        <v>34</v>
      </c>
      <c r="W16">
        <f ca="1">IF(ISNUMBER(Games[[#This Row],[QuadRank]]),_xlfn.RANK.EQ(Games[[#This Row],[QuadSort]],Games[QuadSort],1),"")</f>
        <v>52</v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2">
        <v>75</v>
      </c>
      <c r="S17" s="23">
        <v>75</v>
      </c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75.000002582096641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75.000002582096641</v>
      </c>
      <c r="V17">
        <f ca="1">_xlfn.RANK.EQ(Games[[#This Row],[Sort]],Games[Sort],1)</f>
        <v>75</v>
      </c>
      <c r="W17">
        <f ca="1">IF(ISNUMBER(Games[[#This Row],[QuadRank]]),_xlfn.RANK.EQ(Games[[#This Row],[QuadSort]],Games[QuadSort],1),"")</f>
        <v>75</v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2">
        <v>8</v>
      </c>
      <c r="S18" s="23">
        <v>53</v>
      </c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8.0000015578870389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53.000001557887039</v>
      </c>
      <c r="V18">
        <f ca="1">_xlfn.RANK.EQ(Games[[#This Row],[Sort]],Games[Sort],1)</f>
        <v>8</v>
      </c>
      <c r="W18">
        <f ca="1">IF(ISNUMBER(Games[[#This Row],[QuadRank]]),_xlfn.RANK.EQ(Games[[#This Row],[QuadSort]],Games[QuadSort],1),"")</f>
        <v>53</v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2">
        <v>51</v>
      </c>
      <c r="S19" s="23">
        <v>38</v>
      </c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51.000001030385654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38.000001030385654</v>
      </c>
      <c r="V19">
        <f ca="1">_xlfn.RANK.EQ(Games[[#This Row],[Sort]],Games[Sort],1)</f>
        <v>51</v>
      </c>
      <c r="W19">
        <f ca="1">IF(ISNUMBER(Games[[#This Row],[QuadRank]]),_xlfn.RANK.EQ(Games[[#This Row],[QuadSort]],Games[QuadSort],1),"")</f>
        <v>38</v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2">
        <v>59</v>
      </c>
      <c r="S20" s="23">
        <v>59</v>
      </c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59.000001744288873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59.000001744288873</v>
      </c>
      <c r="V20">
        <f ca="1">_xlfn.RANK.EQ(Games[[#This Row],[Sort]],Games[Sort],1)</f>
        <v>59</v>
      </c>
      <c r="W20">
        <f ca="1">IF(ISNUMBER(Games[[#This Row],[QuadRank]]),_xlfn.RANK.EQ(Games[[#This Row],[QuadSort]],Games[QuadSort],1),"")</f>
        <v>59</v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2">
        <v>50</v>
      </c>
      <c r="S21" s="23">
        <v>5</v>
      </c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50.000000720079278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5.0000007200792753</v>
      </c>
      <c r="V21">
        <f ca="1">_xlfn.RANK.EQ(Games[[#This Row],[Sort]],Games[Sort],1)</f>
        <v>50</v>
      </c>
      <c r="W21">
        <f ca="1">IF(ISNUMBER(Games[[#This Row],[QuadRank]]),_xlfn.RANK.EQ(Games[[#This Row],[QuadSort]],Games[QuadSort],1),"")</f>
        <v>5</v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2">
        <v>22</v>
      </c>
      <c r="S22" s="23">
        <v>25</v>
      </c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22.000002661968193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25.000002661968193</v>
      </c>
      <c r="V22">
        <f ca="1">_xlfn.RANK.EQ(Games[[#This Row],[Sort]],Games[Sort],1)</f>
        <v>22</v>
      </c>
      <c r="W22">
        <f ca="1">IF(ISNUMBER(Games[[#This Row],[QuadRank]]),_xlfn.RANK.EQ(Games[[#This Row],[QuadSort]],Games[QuadSort],1),"")</f>
        <v>25</v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2">
        <v>23</v>
      </c>
      <c r="S23" s="23">
        <v>26</v>
      </c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23.000000381081826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26.000000381081826</v>
      </c>
      <c r="V23">
        <f ca="1">_xlfn.RANK.EQ(Games[[#This Row],[Sort]],Games[Sort],1)</f>
        <v>23</v>
      </c>
      <c r="W23">
        <f ca="1">IF(ISNUMBER(Games[[#This Row],[QuadRank]]),_xlfn.RANK.EQ(Games[[#This Row],[QuadSort]],Games[QuadSort],1),"")</f>
        <v>26</v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2">
        <v>3</v>
      </c>
      <c r="S24" s="23">
        <v>48</v>
      </c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3.0000020965982515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48.000002096598251</v>
      </c>
      <c r="V24">
        <f ca="1">_xlfn.RANK.EQ(Games[[#This Row],[Sort]],Games[Sort],1)</f>
        <v>3</v>
      </c>
      <c r="W24">
        <f ca="1">IF(ISNUMBER(Games[[#This Row],[QuadRank]]),_xlfn.RANK.EQ(Games[[#This Row],[QuadSort]],Games[QuadSort],1),"")</f>
        <v>48</v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1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2">
        <v>49</v>
      </c>
      <c r="S25" s="23">
        <v>37</v>
      </c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49.000001824160428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37.000001824160428</v>
      </c>
      <c r="V25">
        <f ca="1">_xlfn.RANK.EQ(Games[[#This Row],[Sort]],Games[Sort],1)</f>
        <v>49</v>
      </c>
      <c r="W25">
        <f ca="1">IF(ISNUMBER(Games[[#This Row],[QuadRank]]),_xlfn.RANK.EQ(Games[[#This Row],[QuadSort]],Games[QuadSort],1),"")</f>
        <v>37</v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1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2">
        <v>74</v>
      </c>
      <c r="S26" s="23">
        <v>74</v>
      </c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74.000001976859465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74.000001976859465</v>
      </c>
      <c r="V26">
        <f ca="1">_xlfn.RANK.EQ(Games[[#This Row],[Sort]],Games[Sort],1)</f>
        <v>74</v>
      </c>
      <c r="W26">
        <f ca="1">IF(ISNUMBER(Games[[#This Row],[QuadRank]]),_xlfn.RANK.EQ(Games[[#This Row],[QuadSort]],Games[QuadSort],1),"")</f>
        <v>74</v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1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2">
        <v>58</v>
      </c>
      <c r="S27" s="23">
        <v>58</v>
      </c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58.000001993911567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58.000001993911567</v>
      </c>
      <c r="V27">
        <f ca="1">_xlfn.RANK.EQ(Games[[#This Row],[Sort]],Games[Sort],1)</f>
        <v>58</v>
      </c>
      <c r="W27">
        <f ca="1">IF(ISNUMBER(Games[[#This Row],[QuadRank]]),_xlfn.RANK.EQ(Games[[#This Row],[QuadSort]],Games[QuadSort],1),"")</f>
        <v>58</v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1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2">
        <v>32</v>
      </c>
      <c r="S28" s="23">
        <v>23</v>
      </c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32.000000055361426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23.000000055361422</v>
      </c>
      <c r="V28">
        <f ca="1">_xlfn.RANK.EQ(Games[[#This Row],[Sort]],Games[Sort],1)</f>
        <v>32</v>
      </c>
      <c r="W28">
        <f ca="1">IF(ISNUMBER(Games[[#This Row],[QuadRank]]),_xlfn.RANK.EQ(Games[[#This Row],[QuadSort]],Games[QuadSort],1),"")</f>
        <v>23</v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1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2">
        <v>33</v>
      </c>
      <c r="S29" s="23">
        <v>24</v>
      </c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33.000000514201083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24.00000051420108</v>
      </c>
      <c r="V29">
        <f ca="1">_xlfn.RANK.EQ(Games[[#This Row],[Sort]],Games[Sort],1)</f>
        <v>33</v>
      </c>
      <c r="W29">
        <f ca="1">IF(ISNUMBER(Games[[#This Row],[QuadRank]]),_xlfn.RANK.EQ(Games[[#This Row],[QuadSort]],Games[QuadSort],1),"")</f>
        <v>24</v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2">
        <v>6</v>
      </c>
      <c r="S30" s="23">
        <v>41</v>
      </c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6.0000022297175075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41.000002229717509</v>
      </c>
      <c r="V30">
        <f ca="1">_xlfn.RANK.EQ(Games[[#This Row],[Sort]],Games[Sort],1)</f>
        <v>6</v>
      </c>
      <c r="W30">
        <f ca="1">IF(ISNUMBER(Games[[#This Row],[QuadRank]]),_xlfn.RANK.EQ(Games[[#This Row],[QuadSort]],Games[QuadSort],1),"")</f>
        <v>41</v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2">
        <v>48</v>
      </c>
      <c r="S31" s="23">
        <v>36</v>
      </c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48.000001729081731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36.000001729081731</v>
      </c>
      <c r="V31">
        <f ca="1">_xlfn.RANK.EQ(Games[[#This Row],[Sort]],Games[Sort],1)</f>
        <v>48</v>
      </c>
      <c r="W31">
        <f ca="1">IF(ISNUMBER(Games[[#This Row],[QuadRank]]),_xlfn.RANK.EQ(Games[[#This Row],[QuadSort]],Games[QuadSort],1),"")</f>
        <v>36</v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2">
        <v>72</v>
      </c>
      <c r="S32" s="23">
        <v>72</v>
      </c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72.000002187921382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72.000002187921382</v>
      </c>
      <c r="V32">
        <f ca="1">_xlfn.RANK.EQ(Games[[#This Row],[Sort]],Games[Sort],1)</f>
        <v>72</v>
      </c>
      <c r="W32">
        <f ca="1">IF(ISNUMBER(Games[[#This Row],[QuadRank]]),_xlfn.RANK.EQ(Games[[#This Row],[QuadSort]],Games[QuadSort],1),"")</f>
        <v>72</v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2">
        <v>73</v>
      </c>
      <c r="S33" s="23">
        <v>73</v>
      </c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73.000001391909748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73.000001391909748</v>
      </c>
      <c r="V33">
        <f ca="1">_xlfn.RANK.EQ(Games[[#This Row],[Sort]],Games[Sort],1)</f>
        <v>73</v>
      </c>
      <c r="W33">
        <f ca="1">IF(ISNUMBER(Games[[#This Row],[QuadRank]]),_xlfn.RANK.EQ(Games[[#This Row],[QuadSort]],Games[QuadSort],1),"")</f>
        <v>73</v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2">
        <v>20</v>
      </c>
      <c r="S34" s="23">
        <v>70</v>
      </c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20.000000594072635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70.000000594072631</v>
      </c>
      <c r="V34">
        <f ca="1">_xlfn.RANK.EQ(Games[[#This Row],[Sort]],Games[Sort],1)</f>
        <v>20</v>
      </c>
      <c r="W34">
        <f ca="1">IF(ISNUMBER(Games[[#This Row],[QuadRank]]),_xlfn.RANK.EQ(Games[[#This Row],[QuadSort]],Games[QuadSort],1),"")</f>
        <v>70</v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2">
        <v>21</v>
      </c>
      <c r="S35" s="23">
        <v>68</v>
      </c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21.000001052912292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68.000001052912296</v>
      </c>
      <c r="V35">
        <f ca="1">_xlfn.RANK.EQ(Games[[#This Row],[Sort]],Games[Sort],1)</f>
        <v>21</v>
      </c>
      <c r="W35">
        <f ca="1">IF(ISNUMBER(Games[[#This Row],[QuadRank]]),_xlfn.RANK.EQ(Games[[#This Row],[QuadSort]],Games[QuadSort],1),"")</f>
        <v>68</v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2">
        <v>9</v>
      </c>
      <c r="S36" s="23">
        <v>69</v>
      </c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9.0000002569006483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69.000000256900648</v>
      </c>
      <c r="V36">
        <f ca="1">_xlfn.RANK.EQ(Games[[#This Row],[Sort]],Games[Sort],1)</f>
        <v>9</v>
      </c>
      <c r="W36">
        <f ca="1">IF(ISNUMBER(Games[[#This Row],[QuadRank]]),_xlfn.RANK.EQ(Games[[#This Row],[QuadSort]],Games[QuadSort],1),"")</f>
        <v>69</v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2">
        <v>31</v>
      </c>
      <c r="S37" s="23">
        <v>21</v>
      </c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31.000001591623505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21.000001591623505</v>
      </c>
      <c r="V37">
        <f ca="1">_xlfn.RANK.EQ(Games[[#This Row],[Sort]],Games[Sort],1)</f>
        <v>31</v>
      </c>
      <c r="W37">
        <f ca="1">IF(ISNUMBER(Games[[#This Row],[QuadRank]]),_xlfn.RANK.EQ(Games[[#This Row],[QuadSort]],Games[QuadSort],1),"")</f>
        <v>21</v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2">
        <v>30</v>
      </c>
      <c r="S38" s="23">
        <v>22</v>
      </c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30.000001644871208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22.000001644871208</v>
      </c>
      <c r="V38">
        <f ca="1">_xlfn.RANK.EQ(Games[[#This Row],[Sort]],Games[Sort],1)</f>
        <v>30</v>
      </c>
      <c r="W38">
        <f ca="1">IF(ISNUMBER(Games[[#This Row],[QuadRank]]),_xlfn.RANK.EQ(Games[[#This Row],[QuadSort]],Games[QuadSort],1),"")</f>
        <v>22</v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2">
        <v>4</v>
      </c>
      <c r="S39" s="23">
        <v>47</v>
      </c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4.0000006206616066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47.000000620661609</v>
      </c>
      <c r="V39">
        <f ca="1">_xlfn.RANK.EQ(Games[[#This Row],[Sort]],Games[Sort],1)</f>
        <v>4</v>
      </c>
      <c r="W39">
        <f ca="1">IF(ISNUMBER(Games[[#This Row],[QuadRank]]),_xlfn.RANK.EQ(Games[[#This Row],[QuadSort]],Games[QuadSort],1),"")</f>
        <v>47</v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/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2">
        <v>47</v>
      </c>
      <c r="S40" s="23">
        <v>35</v>
      </c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47.000002334352573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35.000002334352573</v>
      </c>
      <c r="V40">
        <f ca="1">_xlfn.RANK.EQ(Games[[#This Row],[Sort]],Games[Sort],1)</f>
        <v>47</v>
      </c>
      <c r="W40">
        <f ca="1">IF(ISNUMBER(Games[[#This Row],[QuadRank]]),_xlfn.RANK.EQ(Games[[#This Row],[QuadSort]],Games[QuadSort],1),"")</f>
        <v>35</v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2">
        <v>57</v>
      </c>
      <c r="S41" s="23">
        <v>57</v>
      </c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57.000000053466202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57.000000053466202</v>
      </c>
      <c r="V41">
        <f ca="1">_xlfn.RANK.EQ(Games[[#This Row],[Sort]],Games[Sort],1)</f>
        <v>57</v>
      </c>
      <c r="W41">
        <f ca="1">IF(ISNUMBER(Games[[#This Row],[QuadRank]]),_xlfn.RANK.EQ(Games[[#This Row],[QuadSort]],Games[QuadSort],1),"")</f>
        <v>57</v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2">
        <v>39</v>
      </c>
      <c r="S42" s="23">
        <v>2</v>
      </c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39.000001997180583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2.0000019971805827</v>
      </c>
      <c r="V42">
        <f ca="1">_xlfn.RANK.EQ(Games[[#This Row],[Sort]],Games[Sort],1)</f>
        <v>39</v>
      </c>
      <c r="W42">
        <f ca="1">IF(ISNUMBER(Games[[#This Row],[QuadRank]]),_xlfn.RANK.EQ(Games[[#This Row],[QuadSort]],Games[QuadSort],1),"")</f>
        <v>2</v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2">
        <v>29</v>
      </c>
      <c r="S43" s="23">
        <v>18</v>
      </c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29.000001579998671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18.000001579998671</v>
      </c>
      <c r="V43">
        <f ca="1">_xlfn.RANK.EQ(Games[[#This Row],[Sort]],Games[Sort],1)</f>
        <v>29</v>
      </c>
      <c r="W43">
        <f ca="1">IF(ISNUMBER(Games[[#This Row],[QuadRank]]),_xlfn.RANK.EQ(Games[[#This Row],[QuadSort]],Games[QuadSort],1),"")</f>
        <v>18</v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2">
        <v>28</v>
      </c>
      <c r="S44" s="23">
        <v>19</v>
      </c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28.000002038838332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19.000002038838332</v>
      </c>
      <c r="V44">
        <f ca="1">_xlfn.RANK.EQ(Games[[#This Row],[Sort]],Games[Sort],1)</f>
        <v>28</v>
      </c>
      <c r="W44">
        <f ca="1">IF(ISNUMBER(Games[[#This Row],[QuadRank]]),_xlfn.RANK.EQ(Games[[#This Row],[QuadSort]],Games[QuadSort],1),"")</f>
        <v>19</v>
      </c>
      <c r="X44" s="5" t="s">
        <v>56</v>
      </c>
      <c r="Y44" s="5"/>
    </row>
    <row r="45" spans="2:25" x14ac:dyDescent="0.25">
      <c r="B45" s="12" t="b">
        <v>1</v>
      </c>
      <c r="C45" t="s">
        <v>28</v>
      </c>
      <c r="D45" s="13">
        <v>7</v>
      </c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2">
        <v>27</v>
      </c>
      <c r="S45" s="23">
        <v>20</v>
      </c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27.000000216791623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20.000000216791623</v>
      </c>
      <c r="V45">
        <f ca="1">_xlfn.RANK.EQ(Games[[#This Row],[Sort]],Games[Sort],1)</f>
        <v>27</v>
      </c>
      <c r="W45">
        <f ca="1">IF(ISNUMBER(Games[[#This Row],[QuadRank]]),_xlfn.RANK.EQ(Games[[#This Row],[QuadSort]],Games[QuadSort],1),"")</f>
        <v>20</v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2">
        <v>68</v>
      </c>
      <c r="S46" s="23">
        <v>42</v>
      </c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68.000000447433322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42.000000447433322</v>
      </c>
      <c r="V46">
        <f ca="1">_xlfn.RANK.EQ(Games[[#This Row],[Sort]],Games[Sort],1)</f>
        <v>68</v>
      </c>
      <c r="W46">
        <f ca="1">IF(ISNUMBER(Games[[#This Row],[QuadRank]]),_xlfn.RANK.EQ(Games[[#This Row],[QuadSort]],Games[QuadSort],1),"")</f>
        <v>42</v>
      </c>
      <c r="X46" s="5" t="s">
        <v>52</v>
      </c>
      <c r="Y46" s="5"/>
    </row>
    <row r="47" spans="2:25" x14ac:dyDescent="0.25">
      <c r="B47" s="12" t="b">
        <v>1</v>
      </c>
      <c r="C47" t="s">
        <v>28</v>
      </c>
      <c r="D47" s="13">
        <v>12</v>
      </c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2">
        <v>69</v>
      </c>
      <c r="S47" s="23">
        <v>49</v>
      </c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69.000002391147703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49.000002391147703</v>
      </c>
      <c r="V47">
        <f ca="1">_xlfn.RANK.EQ(Games[[#This Row],[Sort]],Games[Sort],1)</f>
        <v>69</v>
      </c>
      <c r="W47">
        <f ca="1">IF(ISNUMBER(Games[[#This Row],[QuadRank]]),_xlfn.RANK.EQ(Games[[#This Row],[QuadSort]],Games[QuadSort],1),"")</f>
        <v>49</v>
      </c>
      <c r="X47" s="5" t="s">
        <v>57</v>
      </c>
      <c r="Y47" s="5"/>
    </row>
    <row r="48" spans="2:25" x14ac:dyDescent="0.25">
      <c r="B48" s="12" t="b">
        <v>1</v>
      </c>
      <c r="C48" t="s">
        <v>30</v>
      </c>
      <c r="D48" s="13">
        <v>28</v>
      </c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2">
        <v>70</v>
      </c>
      <c r="S48" s="23">
        <v>54</v>
      </c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70.000000879710953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54.000000879710953</v>
      </c>
      <c r="V48">
        <f ca="1">_xlfn.RANK.EQ(Games[[#This Row],[Sort]],Games[Sort],1)</f>
        <v>70</v>
      </c>
      <c r="W48">
        <f ca="1">IF(ISNUMBER(Games[[#This Row],[QuadRank]]),_xlfn.RANK.EQ(Games[[#This Row],[QuadSort]],Games[QuadSort],1),"")</f>
        <v>54</v>
      </c>
      <c r="X48" s="5"/>
      <c r="Y48" s="5"/>
    </row>
    <row r="49" spans="2:25" x14ac:dyDescent="0.25">
      <c r="B49" s="12" t="b">
        <v>1</v>
      </c>
      <c r="C49" t="s">
        <v>28</v>
      </c>
      <c r="D49" s="13">
        <v>30</v>
      </c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2">
        <v>35</v>
      </c>
      <c r="S49" s="23">
        <v>34</v>
      </c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35.00000058055258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34.00000058055258</v>
      </c>
      <c r="V49">
        <f ca="1">_xlfn.RANK.EQ(Games[[#This Row],[Sort]],Games[Sort],1)</f>
        <v>35</v>
      </c>
      <c r="W49">
        <f ca="1">IF(ISNUMBER(Games[[#This Row],[QuadRank]]),_xlfn.RANK.EQ(Games[[#This Row],[QuadSort]],Games[QuadSort],1),"")</f>
        <v>34</v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2">
        <v>56</v>
      </c>
      <c r="S50" s="23">
        <v>67</v>
      </c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56.000001143471152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67.000001143471152</v>
      </c>
      <c r="V50">
        <f ca="1">_xlfn.RANK.EQ(Games[[#This Row],[Sort]],Games[Sort],1)</f>
        <v>56</v>
      </c>
      <c r="W50">
        <f ca="1">IF(ISNUMBER(Games[[#This Row],[QuadRank]]),_xlfn.RANK.EQ(Games[[#This Row],[QuadSort]],Games[QuadSort],1),"")</f>
        <v>67</v>
      </c>
      <c r="X50" s="5"/>
      <c r="Y50" s="5"/>
    </row>
    <row r="51" spans="2:25" x14ac:dyDescent="0.25">
      <c r="B51" s="12" t="b">
        <v>0</v>
      </c>
      <c r="C51" t="s">
        <v>30</v>
      </c>
      <c r="D51" s="13"/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2">
        <v>62</v>
      </c>
      <c r="S51" s="23">
        <v>62</v>
      </c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62.00000024338059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62.00000024338059</v>
      </c>
      <c r="V51">
        <f ca="1">_xlfn.RANK.EQ(Games[[#This Row],[Sort]],Games[Sort],1)</f>
        <v>62</v>
      </c>
      <c r="W51">
        <f ca="1">IF(ISNUMBER(Games[[#This Row],[QuadRank]]),_xlfn.RANK.EQ(Games[[#This Row],[QuadSort]],Games[QuadSort],1),"")</f>
        <v>62</v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2">
        <v>18</v>
      </c>
      <c r="S52" s="23">
        <v>16</v>
      </c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18.000002185269512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16.000002185269512</v>
      </c>
      <c r="V52">
        <f ca="1">_xlfn.RANK.EQ(Games[[#This Row],[Sort]],Games[Sort],1)</f>
        <v>18</v>
      </c>
      <c r="W52">
        <f ca="1">IF(ISNUMBER(Games[[#This Row],[QuadRank]]),_xlfn.RANK.EQ(Games[[#This Row],[QuadSort]],Games[QuadSort],1),"")</f>
        <v>16</v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2">
        <v>19</v>
      </c>
      <c r="S53" s="23">
        <v>17</v>
      </c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19.00000264410917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17.00000264410917</v>
      </c>
      <c r="V53">
        <f ca="1">_xlfn.RANK.EQ(Games[[#This Row],[Sort]],Games[Sort],1)</f>
        <v>19</v>
      </c>
      <c r="W53">
        <f ca="1">IF(ISNUMBER(Games[[#This Row],[QuadRank]]),_xlfn.RANK.EQ(Games[[#This Row],[QuadSort]],Games[QuadSort],1),"")</f>
        <v>17</v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2">
        <v>5</v>
      </c>
      <c r="S54" s="23">
        <v>46</v>
      </c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5.0000018480975257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46.000001848097526</v>
      </c>
      <c r="V54">
        <f ca="1">_xlfn.RANK.EQ(Games[[#This Row],[Sort]],Games[Sort],1)</f>
        <v>5</v>
      </c>
      <c r="W54">
        <f ca="1">IF(ISNUMBER(Games[[#This Row],[QuadRank]]),_xlfn.RANK.EQ(Games[[#This Row],[QuadSort]],Games[QuadSort],1),"")</f>
        <v>46</v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2">
        <v>46</v>
      </c>
      <c r="S55" s="23">
        <v>33</v>
      </c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46.000001119263793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33.000001119263793</v>
      </c>
      <c r="V55">
        <f ca="1">_xlfn.RANK.EQ(Games[[#This Row],[Sort]],Games[Sort],1)</f>
        <v>46</v>
      </c>
      <c r="W55">
        <f ca="1">IF(ISNUMBER(Games[[#This Row],[QuadRank]]),_xlfn.RANK.EQ(Games[[#This Row],[QuadSort]],Games[QuadSort],1),"")</f>
        <v>33</v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2">
        <v>45</v>
      </c>
      <c r="S56" s="23">
        <v>3</v>
      </c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45.000000323252145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3.0000003232521464</v>
      </c>
      <c r="V56">
        <f ca="1">_xlfn.RANK.EQ(Games[[#This Row],[Sort]],Games[Sort],1)</f>
        <v>45</v>
      </c>
      <c r="W56">
        <f ca="1">IF(ISNUMBER(Games[[#This Row],[QuadRank]]),_xlfn.RANK.EQ(Games[[#This Row],[QuadSort]],Games[QuadSort],1),"")</f>
        <v>3</v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2">
        <v>55</v>
      </c>
      <c r="S57" s="23">
        <v>55</v>
      </c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55.000000782091803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55.000000782091803</v>
      </c>
      <c r="V57">
        <f ca="1">_xlfn.RANK.EQ(Games[[#This Row],[Sort]],Games[Sort],1)</f>
        <v>55</v>
      </c>
      <c r="W57">
        <f ca="1">IF(ISNUMBER(Games[[#This Row],[QuadRank]]),_xlfn.RANK.EQ(Games[[#This Row],[QuadSort]],Games[QuadSort],1),"")</f>
        <v>55</v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2">
        <v>26</v>
      </c>
      <c r="S58" s="23">
        <v>14</v>
      </c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26.000000443094354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14.000000443094356</v>
      </c>
      <c r="V58">
        <f ca="1">_xlfn.RANK.EQ(Games[[#This Row],[Sort]],Games[Sort],1)</f>
        <v>26</v>
      </c>
      <c r="W58">
        <f ca="1">IF(ISNUMBER(Games[[#This Row],[QuadRank]]),_xlfn.RANK.EQ(Games[[#This Row],[QuadSort]],Games[QuadSort],1),"")</f>
        <v>14</v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2">
        <v>25</v>
      </c>
      <c r="S59" s="23">
        <v>15</v>
      </c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25.000000901934015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15.000000901934015</v>
      </c>
      <c r="V59">
        <f ca="1">_xlfn.RANK.EQ(Games[[#This Row],[Sort]],Games[Sort],1)</f>
        <v>25</v>
      </c>
      <c r="W59">
        <f ca="1">IF(ISNUMBER(Games[[#This Row],[QuadRank]]),_xlfn.RANK.EQ(Games[[#This Row],[QuadSort]],Games[QuadSort],1),"")</f>
        <v>15</v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2">
        <v>10</v>
      </c>
      <c r="S60" s="23">
        <v>45</v>
      </c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10.000002211858485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45.000002211858487</v>
      </c>
      <c r="V60">
        <f ca="1">_xlfn.RANK.EQ(Games[[#This Row],[Sort]],Games[Sort],1)</f>
        <v>10</v>
      </c>
      <c r="W60">
        <f ca="1">IF(ISNUMBER(Games[[#This Row],[QuadRank]]),_xlfn.RANK.EQ(Games[[#This Row],[QuadSort]],Games[QuadSort],1),"")</f>
        <v>45</v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2">
        <v>44</v>
      </c>
      <c r="S61" s="23">
        <v>32</v>
      </c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44.000001185823422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32.000001185823422</v>
      </c>
      <c r="V61">
        <f ca="1">_xlfn.RANK.EQ(Games[[#This Row],[Sort]],Games[Sort],1)</f>
        <v>44</v>
      </c>
      <c r="W61">
        <f ca="1">IF(ISNUMBER(Games[[#This Row],[QuadRank]]),_xlfn.RANK.EQ(Games[[#This Row],[QuadSort]],Games[QuadSort],1),"")</f>
        <v>32</v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2">
        <v>43</v>
      </c>
      <c r="S62" s="23">
        <v>31</v>
      </c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43.000001531738469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31.000001531738466</v>
      </c>
      <c r="V62">
        <f ca="1">_xlfn.RANK.EQ(Games[[#This Row],[Sort]],Games[Sort],1)</f>
        <v>43</v>
      </c>
      <c r="W62">
        <f ca="1">IF(ISNUMBER(Games[[#This Row],[QuadRank]]),_xlfn.RANK.EQ(Games[[#This Row],[QuadSort]],Games[QuadSort],1),"")</f>
        <v>31</v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2">
        <v>38</v>
      </c>
      <c r="S63" s="23">
        <v>4</v>
      </c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38.000000848651432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4.0000008486514327</v>
      </c>
      <c r="V63">
        <f ca="1">_xlfn.RANK.EQ(Games[[#This Row],[Sort]],Games[Sort],1)</f>
        <v>38</v>
      </c>
      <c r="W63">
        <f ca="1">IF(ISNUMBER(Games[[#This Row],[QuadRank]]),_xlfn.RANK.EQ(Games[[#This Row],[QuadSort]],Games[QuadSort],1),"")</f>
        <v>4</v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2">
        <v>42</v>
      </c>
      <c r="S64" s="23">
        <v>30</v>
      </c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42.000001724534634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30.000001724534631</v>
      </c>
      <c r="V64">
        <f ca="1">_xlfn.RANK.EQ(Games[[#This Row],[Sort]],Games[Sort],1)</f>
        <v>42</v>
      </c>
      <c r="W64">
        <f ca="1">IF(ISNUMBER(Games[[#This Row],[QuadRank]]),_xlfn.RANK.EQ(Games[[#This Row],[QuadSort]],Games[QuadSort],1),"")</f>
        <v>30</v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2">
        <v>41</v>
      </c>
      <c r="S65" s="23">
        <v>29</v>
      </c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41.000002411572247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29.000002411572247</v>
      </c>
      <c r="V65">
        <f ca="1">_xlfn.RANK.EQ(Games[[#This Row],[Sort]],Games[Sort],1)</f>
        <v>41</v>
      </c>
      <c r="W65">
        <f ca="1">IF(ISNUMBER(Games[[#This Row],[QuadRank]]),_xlfn.RANK.EQ(Games[[#This Row],[QuadSort]],Games[QuadSort],1),"")</f>
        <v>29</v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2">
        <v>40</v>
      </c>
      <c r="S66" s="23">
        <v>1</v>
      </c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40.000001387362644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1.0000013873626452</v>
      </c>
      <c r="V66">
        <f ca="1">_xlfn.RANK.EQ(Games[[#This Row],[Sort]],Games[Sort],1)</f>
        <v>40</v>
      </c>
      <c r="W66">
        <f ca="1">IF(ISNUMBER(Games[[#This Row],[QuadRank]]),_xlfn.RANK.EQ(Games[[#This Row],[QuadSort]],Games[QuadSort],1),"")</f>
        <v>1</v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2">
        <v>15</v>
      </c>
      <c r="S67" s="23">
        <v>11</v>
      </c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15.000000589525538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11.000000589525538</v>
      </c>
      <c r="V67">
        <f ca="1">_xlfn.RANK.EQ(Games[[#This Row],[Sort]],Games[Sort],1)</f>
        <v>15</v>
      </c>
      <c r="W67">
        <f ca="1">IF(ISNUMBER(Games[[#This Row],[QuadRank]]),_xlfn.RANK.EQ(Games[[#This Row],[QuadSort]],Games[QuadSort],1),"")</f>
        <v>11</v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2">
        <v>16</v>
      </c>
      <c r="S68" s="23">
        <v>12</v>
      </c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16.000001048365196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12.000001048365196</v>
      </c>
      <c r="V68">
        <f ca="1">_xlfn.RANK.EQ(Games[[#This Row],[Sort]],Games[Sort],1)</f>
        <v>16</v>
      </c>
      <c r="W68">
        <f ca="1">IF(ISNUMBER(Games[[#This Row],[QuadRank]]),_xlfn.RANK.EQ(Games[[#This Row],[QuadSort]],Games[QuadSort],1),"")</f>
        <v>12</v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2">
        <v>1</v>
      </c>
      <c r="S69" s="23">
        <v>44</v>
      </c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1.0000023582896651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44.000002358289663</v>
      </c>
      <c r="V69">
        <f ca="1">_xlfn.RANK.EQ(Games[[#This Row],[Sort]],Games[Sort],1)</f>
        <v>1</v>
      </c>
      <c r="W69">
        <f ca="1">IF(ISNUMBER(Games[[#This Row],[QuadRank]]),_xlfn.RANK.EQ(Games[[#This Row],[QuadSort]],Games[QuadSort],1),"")</f>
        <v>44</v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2">
        <v>24</v>
      </c>
      <c r="S70" s="23">
        <v>13</v>
      </c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24.00000203260414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13.000002032604142</v>
      </c>
      <c r="V70">
        <f ca="1">_xlfn.RANK.EQ(Games[[#This Row],[Sort]],Games[Sort],1)</f>
        <v>24</v>
      </c>
      <c r="W70">
        <f ca="1">IF(ISNUMBER(Games[[#This Row],[QuadRank]]),_xlfn.RANK.EQ(Games[[#This Row],[QuadSort]],Games[QuadSort],1),"")</f>
        <v>13</v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2">
        <v>37</v>
      </c>
      <c r="S71" s="23">
        <v>28</v>
      </c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37.000002263245847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28.000002263245843</v>
      </c>
      <c r="V71">
        <f ca="1">_xlfn.RANK.EQ(Games[[#This Row],[Sort]],Games[Sort],1)</f>
        <v>37</v>
      </c>
      <c r="W71">
        <f ca="1">IF(ISNUMBER(Games[[#This Row],[QuadRank]]),_xlfn.RANK.EQ(Games[[#This Row],[QuadSort]],Games[QuadSort],1),"")</f>
        <v>28</v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2">
        <v>60</v>
      </c>
      <c r="S72" s="23">
        <v>60</v>
      </c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60.000002544691505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60.000002544691505</v>
      </c>
      <c r="V72">
        <f ca="1">_xlfn.RANK.EQ(Games[[#This Row],[Sort]],Games[Sort],1)</f>
        <v>60</v>
      </c>
      <c r="W72">
        <f ca="1">IF(ISNUMBER(Games[[#This Row],[QuadRank]]),_xlfn.RANK.EQ(Games[[#This Row],[QuadSort]],Games[QuadSort],1),"")</f>
        <v>60</v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2">
        <v>71</v>
      </c>
      <c r="S73" s="23">
        <v>71</v>
      </c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71.000001520481902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71.000001520481902</v>
      </c>
      <c r="V73">
        <f ca="1">_xlfn.RANK.EQ(Games[[#This Row],[Sort]],Games[Sort],1)</f>
        <v>71</v>
      </c>
      <c r="W73">
        <f ca="1">IF(ISNUMBER(Games[[#This Row],[QuadRank]]),_xlfn.RANK.EQ(Games[[#This Row],[QuadSort]],Games[QuadSort],1),"")</f>
        <v>71</v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2">
        <v>14</v>
      </c>
      <c r="S74" s="23">
        <v>10</v>
      </c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14.000001181484452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10.000001181484452</v>
      </c>
      <c r="V74">
        <f ca="1">_xlfn.RANK.EQ(Games[[#This Row],[Sort]],Games[Sort],1)</f>
        <v>14</v>
      </c>
      <c r="W74">
        <f ca="1">IF(ISNUMBER(Games[[#This Row],[QuadRank]]),_xlfn.RANK.EQ(Games[[#This Row],[QuadSort]],Games[QuadSort],1),"")</f>
        <v>10</v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2">
        <v>80</v>
      </c>
      <c r="S75" s="23">
        <v>80</v>
      </c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80.000001640324115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80.000001640324115</v>
      </c>
      <c r="V75">
        <f ca="1">_xlfn.RANK.EQ(Games[[#This Row],[Sort]],Games[Sort],1)</f>
        <v>80</v>
      </c>
      <c r="W75">
        <f ca="1">IF(ISNUMBER(Games[[#This Row],[QuadRank]]),_xlfn.RANK.EQ(Games[[#This Row],[QuadSort]],Games[QuadSort],1),"")</f>
        <v>80</v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2">
        <v>2</v>
      </c>
      <c r="S76" s="23">
        <v>43</v>
      </c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2.0000006161145087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43.000000616114512</v>
      </c>
      <c r="V76">
        <f ca="1">_xlfn.RANK.EQ(Games[[#This Row],[Sort]],Games[Sort],1)</f>
        <v>2</v>
      </c>
      <c r="W76">
        <f ca="1">IF(ISNUMBER(Games[[#This Row],[QuadRank]]),_xlfn.RANK.EQ(Games[[#This Row],[QuadSort]],Games[QuadSort],1),"")</f>
        <v>43</v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2">
        <v>13</v>
      </c>
      <c r="S77" s="23">
        <v>9</v>
      </c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13.000001720195664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9.0000017201956641</v>
      </c>
      <c r="V77">
        <f ca="1">_xlfn.RANK.EQ(Games[[#This Row],[Sort]],Games[Sort],1)</f>
        <v>13</v>
      </c>
      <c r="W77">
        <f ca="1">IF(ISNUMBER(Games[[#This Row],[QuadRank]]),_xlfn.RANK.EQ(Games[[#This Row],[QuadSort]],Games[QuadSort],1),"")</f>
        <v>9</v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2">
        <v>81</v>
      </c>
      <c r="S78" s="23">
        <v>81</v>
      </c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81.000001950837373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81.000001950837373</v>
      </c>
      <c r="V78">
        <f ca="1">_xlfn.RANK.EQ(Games[[#This Row],[Sort]],Games[Sort],1)</f>
        <v>81</v>
      </c>
      <c r="W78">
        <f ca="1">IF(ISNUMBER(Games[[#This Row],[QuadRank]]),_xlfn.RANK.EQ(Games[[#This Row],[QuadSort]],Games[QuadSort],1),"")</f>
        <v>81</v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2">
        <v>12</v>
      </c>
      <c r="S79" s="23">
        <v>8</v>
      </c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12.000002637874982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8.0000026378749816</v>
      </c>
      <c r="V79">
        <f ca="1">_xlfn.RANK.EQ(Games[[#This Row],[Sort]],Games[Sort],1)</f>
        <v>12</v>
      </c>
      <c r="W79">
        <f ca="1">IF(ISNUMBER(Games[[#This Row],[QuadRank]]),_xlfn.RANK.EQ(Games[[#This Row],[QuadSort]],Games[QuadSort],1),"")</f>
        <v>8</v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2">
        <v>36</v>
      </c>
      <c r="S80" s="23">
        <v>27</v>
      </c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36.000002462924726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27.000002462924726</v>
      </c>
      <c r="V80">
        <f ca="1">_xlfn.RANK.EQ(Games[[#This Row],[Sort]],Games[Sort],1)</f>
        <v>36</v>
      </c>
      <c r="W80">
        <f ca="1">IF(ISNUMBER(Games[[#This Row],[QuadRank]]),_xlfn.RANK.EQ(Games[[#This Row],[QuadSort]],Games[QuadSort],1),"")</f>
        <v>27</v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2">
        <v>61</v>
      </c>
      <c r="S81" s="23">
        <v>61</v>
      </c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61.000000410236318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61.000000410236318</v>
      </c>
      <c r="V81">
        <f ca="1">_xlfn.RANK.EQ(Games[[#This Row],[Sort]],Games[Sort],1)</f>
        <v>61</v>
      </c>
      <c r="W81">
        <f ca="1">IF(ISNUMBER(Games[[#This Row],[QuadRank]]),_xlfn.RANK.EQ(Games[[#This Row],[QuadSort]],Games[QuadSort],1),"")</f>
        <v>61</v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2">
        <v>17</v>
      </c>
      <c r="S82" s="23">
        <v>6</v>
      </c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17.000001104638066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6.0000011046380646</v>
      </c>
      <c r="V82">
        <f ca="1">_xlfn.RANK.EQ(Games[[#This Row],[Sort]],Games[Sort],1)</f>
        <v>17</v>
      </c>
      <c r="W82">
        <f ca="1">IF(ISNUMBER(Games[[#This Row],[QuadRank]]),_xlfn.RANK.EQ(Games[[#This Row],[QuadSort]],Games[QuadSort],1),"")</f>
        <v>6</v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2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3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5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8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2026-09-25T00:06:34Z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