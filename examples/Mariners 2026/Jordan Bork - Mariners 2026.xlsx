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A5F20D93-C19D-44DB-A28C-A583B382354F}" xr6:coauthVersionLast="47" xr6:coauthVersionMax="47" xr10:uidLastSave="{00000000-0000-0000-0000-000000000000}"/>
  <bookViews>
    <workbookView xWindow="17830" yWindow="120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W13" i="1" l="1"/>
  <c r="W37" i="1"/>
  <c r="W63" i="1"/>
  <c r="W39" i="1"/>
  <c r="W15" i="1"/>
  <c r="W14" i="1"/>
  <c r="W44" i="1"/>
  <c r="W11" i="1"/>
  <c r="W10" i="1"/>
  <c r="W9" i="1"/>
  <c r="W8" i="1"/>
  <c r="W7" i="1"/>
  <c r="W6" i="1"/>
  <c r="W5" i="1"/>
  <c r="W4" i="1"/>
  <c r="W38" i="1"/>
  <c r="W58" i="1"/>
  <c r="W57" i="1"/>
  <c r="W56" i="1"/>
  <c r="W31" i="1"/>
  <c r="W54" i="1"/>
  <c r="W53" i="1"/>
  <c r="W28" i="1"/>
  <c r="W27" i="1"/>
  <c r="W75" i="1"/>
  <c r="W22" i="1"/>
  <c r="W72" i="1"/>
  <c r="W32" i="1"/>
  <c r="W2" i="1"/>
  <c r="W60" i="1"/>
  <c r="W35" i="1"/>
  <c r="W79" i="1"/>
  <c r="W77" i="1"/>
  <c r="W62" i="1"/>
  <c r="W82" i="1"/>
  <c r="W81" i="1"/>
  <c r="W80" i="1"/>
  <c r="W55" i="1"/>
  <c r="W78" i="1"/>
  <c r="W59" i="1"/>
  <c r="W30" i="1"/>
  <c r="W34" i="1"/>
  <c r="W33" i="1"/>
  <c r="W29" i="1"/>
  <c r="W76" i="1"/>
  <c r="W61" i="1"/>
  <c r="W36" i="1"/>
  <c r="W52" i="1"/>
  <c r="W51" i="1"/>
  <c r="W65" i="1"/>
  <c r="W66" i="1"/>
  <c r="W69" i="1"/>
  <c r="W42" i="1"/>
  <c r="W64" i="1"/>
  <c r="W40" i="1"/>
  <c r="W16" i="1"/>
  <c r="W67" i="1"/>
  <c r="W43" i="1"/>
  <c r="W19" i="1"/>
  <c r="W41" i="1"/>
  <c r="W17" i="1"/>
  <c r="W18" i="1"/>
  <c r="W20" i="1"/>
  <c r="W12" i="1"/>
  <c r="W68" i="1"/>
  <c r="W3" i="1"/>
  <c r="W45" i="1"/>
  <c r="W21" i="1"/>
  <c r="W50" i="1"/>
  <c r="W49" i="1"/>
  <c r="W25" i="1"/>
  <c r="W74" i="1"/>
  <c r="W26" i="1"/>
  <c r="W73" i="1"/>
  <c r="W48" i="1"/>
  <c r="W24" i="1"/>
  <c r="W71" i="1"/>
  <c r="W47" i="1"/>
  <c r="W23" i="1"/>
  <c r="W70" i="1"/>
  <c r="W46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<sst xmlns="http://schemas.openxmlformats.org/spreadsheetml/2006/main" count="283" uniqueCount="109">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</sst>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4A5056FB-0763-4E0C-9398-3DC1D76BF9DE}"/>
    <cellStyle name="Normal 3" xfId="2" xr:uid="{00000000-0005-0000-0000-000004000000}"/>
    <cellStyle name="Normal 3 2" xfId="8" xr:uid="{08D81043-868B-4BCC-AE74-8269B882399E}"/>
    <cellStyle name="Normal 4" xfId="3" xr:uid="{00000000-0005-0000-0000-000005000000}"/>
    <cellStyle name="Normal 4 2" xfId="9" xr:uid="{BC50D62F-26CA-4017-BB20-80068AD60B50}"/>
    <cellStyle name="Normal 5" xfId="5" xr:uid="{AF0439D6-8192-4E89-93DB-F527DA4E9322}"/>
    <cellStyle name="Normal 5 2" xfId="10" xr:uid="{499322D1-5802-441C-8CEC-20C5350B94F2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E51" sqref="E51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40</v>
      </c>
      <c r="S2" s="22">
        <v>28</v>
      </c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28.000002599747535</v>
      </c>
      <c r="V2">
        <f ca="1">_xlfn.RANK.EQ(Games[[#This Row],[Sort]],Games[Sort],1)</f>
        <v>40</v>
      </c>
      <c r="W2">
        <f ca="1">IF(ISNUMBER(Games[[#This Row],[QuadRank]]),_xlfn.RANK.EQ(Games[[#This Row],[QuadSort]],Games[QuadSort],1),"")</f>
        <v>28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45</v>
      </c>
      <c r="S3" s="22">
        <v>29</v>
      </c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45.000000280913888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29.000000280913891</v>
      </c>
      <c r="V3">
        <f ca="1">_xlfn.RANK.EQ(Games[[#This Row],[Sort]],Games[Sort],1)</f>
        <v>45</v>
      </c>
      <c r="W3">
        <f ca="1">IF(ISNUMBER(Games[[#This Row],[QuadRank]]),_xlfn.RANK.EQ(Games[[#This Row],[QuadSort]],Games[QuadSort],1),"")</f>
        <v>29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81</v>
      </c>
      <c r="S4" s="22">
        <v>30</v>
      </c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30.000001005898781</v>
      </c>
      <c r="V4">
        <f ca="1">_xlfn.RANK.EQ(Games[[#This Row],[Sort]],Games[Sort],1)</f>
        <v>81</v>
      </c>
      <c r="W4">
        <f ca="1">IF(ISNUMBER(Games[[#This Row],[QuadRank]]),_xlfn.RANK.EQ(Games[[#This Row],[QuadSort]],Games[QuadSort],1),"")</f>
        <v>30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80</v>
      </c>
      <c r="S5" s="22">
        <v>31</v>
      </c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31.000000311218304</v>
      </c>
      <c r="V5">
        <f ca="1">_xlfn.RANK.EQ(Games[[#This Row],[Sort]],Games[Sort],1)</f>
        <v>80</v>
      </c>
      <c r="W5">
        <f ca="1">IF(ISNUMBER(Games[[#This Row],[QuadRank]]),_xlfn.RANK.EQ(Games[[#This Row],[QuadSort]],Games[QuadSort],1),"")</f>
        <v>31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41</v>
      </c>
      <c r="S6" s="22">
        <v>32</v>
      </c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32.000001517986142</v>
      </c>
      <c r="V6">
        <f ca="1">_xlfn.RANK.EQ(Games[[#This Row],[Sort]],Games[Sort],1)</f>
        <v>41</v>
      </c>
      <c r="W6">
        <f ca="1">IF(ISNUMBER(Games[[#This Row],[QuadRank]]),_xlfn.RANK.EQ(Games[[#This Row],[QuadSort]],Games[QuadSort],1),"")</f>
        <v>32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79</v>
      </c>
      <c r="S7" s="22">
        <v>33</v>
      </c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33.0000019768258</v>
      </c>
      <c r="V7">
        <f ca="1">_xlfn.RANK.EQ(Games[[#This Row],[Sort]],Games[Sort],1)</f>
        <v>79</v>
      </c>
      <c r="W7">
        <f ca="1">IF(ISNUMBER(Games[[#This Row],[QuadRank]]),_xlfn.RANK.EQ(Games[[#This Row],[QuadSort]],Games[QuadSort],1),"")</f>
        <v>33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78</v>
      </c>
      <c r="S8" s="22">
        <v>34</v>
      </c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78.000000952616205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34.000000952616197</v>
      </c>
      <c r="V8">
        <f ca="1">_xlfn.RANK.EQ(Games[[#This Row],[Sort]],Games[Sort],1)</f>
        <v>78</v>
      </c>
      <c r="W8">
        <f ca="1">IF(ISNUMBER(Games[[#This Row],[QuadRank]]),_xlfn.RANK.EQ(Games[[#This Row],[QuadSort]],Games[QuadSort],1),"")</f>
        <v>34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47</v>
      </c>
      <c r="S9" s="22">
        <v>35</v>
      </c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47.000000680178381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35.000000680178381</v>
      </c>
      <c r="V9">
        <f ca="1">_xlfn.RANK.EQ(Games[[#This Row],[Sort]],Games[Sort],1)</f>
        <v>47</v>
      </c>
      <c r="W9">
        <f ca="1">IF(ISNUMBER(Games[[#This Row],[QuadRank]]),_xlfn.RANK.EQ(Games[[#This Row],[QuadSort]],Games[QuadSort],1),"")</f>
        <v>35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77</v>
      </c>
      <c r="S10" s="22">
        <v>36</v>
      </c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77.000001139018039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36.000001139018039</v>
      </c>
      <c r="V10">
        <f ca="1">_xlfn.RANK.EQ(Games[[#This Row],[Sort]],Games[Sort],1)</f>
        <v>77</v>
      </c>
      <c r="W10">
        <f ca="1">IF(ISNUMBER(Games[[#This Row],[QuadRank]]),_xlfn.RANK.EQ(Games[[#This Row],[QuadSort]],Games[QuadSort],1),"")</f>
        <v>36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21</v>
      </c>
      <c r="S11" s="22">
        <v>37</v>
      </c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21.000000114808437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37.000000114808437</v>
      </c>
      <c r="V11">
        <f ca="1">_xlfn.RANK.EQ(Games[[#This Row],[Sort]],Games[Sort],1)</f>
        <v>21</v>
      </c>
      <c r="W11">
        <f ca="1">IF(ISNUMBER(Games[[#This Row],[QuadRank]]),_xlfn.RANK.EQ(Games[[#This Row],[QuadSort]],Games[QuadSort],1),"")</f>
        <v>37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76</v>
      </c>
      <c r="S12" s="22">
        <v>38</v>
      </c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38.000000573648094</v>
      </c>
      <c r="V12">
        <f ca="1">_xlfn.RANK.EQ(Games[[#This Row],[Sort]],Games[Sort],1)</f>
        <v>76</v>
      </c>
      <c r="W12">
        <f ca="1">IF(ISNUMBER(Games[[#This Row],[QuadRank]]),_xlfn.RANK.EQ(Games[[#This Row],[QuadSort]],Games[QuadSort],1),"")</f>
        <v>38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30</v>
      </c>
      <c r="S13" s="22">
        <v>39</v>
      </c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30.000001152329961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39.000001152329965</v>
      </c>
      <c r="V13">
        <f ca="1">_xlfn.RANK.EQ(Games[[#This Row],[Sort]],Games[Sort],1)</f>
        <v>30</v>
      </c>
      <c r="W13">
        <f ca="1">IF(ISNUMBER(Games[[#This Row],[QuadRank]]),_xlfn.RANK.EQ(Games[[#This Row],[QuadSort]],Games[QuadSort],1),"")</f>
        <v>39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32</v>
      </c>
      <c r="S14" s="22">
        <v>11</v>
      </c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32.000000899437048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11.000000899437046</v>
      </c>
      <c r="V14">
        <f ca="1">_xlfn.RANK.EQ(Games[[#This Row],[Sort]],Games[Sort],1)</f>
        <v>32</v>
      </c>
      <c r="W14">
        <f ca="1">IF(ISNUMBER(Games[[#This Row],[QuadRank]]),_xlfn.RANK.EQ(Games[[#This Row],[QuadSort]],Games[QuadSort],1),"")</f>
        <v>11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38</v>
      </c>
      <c r="S15" s="22">
        <v>40</v>
      </c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40.000000181368065</v>
      </c>
      <c r="V15">
        <f ca="1">_xlfn.RANK.EQ(Games[[#This Row],[Sort]],Games[Sort],1)</f>
        <v>38</v>
      </c>
      <c r="W15">
        <f ca="1">IF(ISNUMBER(Games[[#This Row],[QuadRank]]),_xlfn.RANK.EQ(Games[[#This Row],[QuadSort]],Games[QuadSort],1),"")</f>
        <v>40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35</v>
      </c>
      <c r="S16" s="22">
        <v>41</v>
      </c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35.000002123256984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41.000002123256984</v>
      </c>
      <c r="V16">
        <f ca="1">_xlfn.RANK.EQ(Games[[#This Row],[Sort]],Games[Sort],1)</f>
        <v>35</v>
      </c>
      <c r="W16">
        <f ca="1">IF(ISNUMBER(Games[[#This Row],[QuadRank]]),_xlfn.RANK.EQ(Games[[#This Row],[QuadSort]],Games[QuadSort],1),"")</f>
        <v>41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75</v>
      </c>
      <c r="S17" s="22">
        <v>42</v>
      </c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42.000002582096641</v>
      </c>
      <c r="V17">
        <f ca="1">_xlfn.RANK.EQ(Games[[#This Row],[Sort]],Games[Sort],1)</f>
        <v>75</v>
      </c>
      <c r="W17">
        <f ca="1">IF(ISNUMBER(Games[[#This Row],[QuadRank]]),_xlfn.RANK.EQ(Games[[#This Row],[QuadSort]],Games[QuadSort],1),"")</f>
        <v>42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74</v>
      </c>
      <c r="S18" s="22">
        <v>43</v>
      </c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74.000001557887046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43.000001557887039</v>
      </c>
      <c r="V18">
        <f ca="1">_xlfn.RANK.EQ(Games[[#This Row],[Sort]],Games[Sort],1)</f>
        <v>74</v>
      </c>
      <c r="W18">
        <f ca="1">IF(ISNUMBER(Games[[#This Row],[QuadRank]]),_xlfn.RANK.EQ(Games[[#This Row],[QuadSort]],Games[QuadSort],1),"")</f>
        <v>43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4</v>
      </c>
      <c r="S19" s="22">
        <v>3</v>
      </c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4.0000010303856541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3.0000010303856537</v>
      </c>
      <c r="V19">
        <f ca="1">_xlfn.RANK.EQ(Games[[#This Row],[Sort]],Games[Sort],1)</f>
        <v>4</v>
      </c>
      <c r="W19">
        <f ca="1">IF(ISNUMBER(Games[[#This Row],[QuadRank]]),_xlfn.RANK.EQ(Games[[#This Row],[QuadSort]],Games[QuadSort],1),"")</f>
        <v>3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2</v>
      </c>
      <c r="S20" s="22">
        <v>2</v>
      </c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2.0000017442888764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2.0000017442888764</v>
      </c>
      <c r="V20">
        <f ca="1">_xlfn.RANK.EQ(Games[[#This Row],[Sort]],Games[Sort],1)</f>
        <v>2</v>
      </c>
      <c r="W20">
        <f ca="1">IF(ISNUMBER(Games[[#This Row],[QuadRank]]),_xlfn.RANK.EQ(Games[[#This Row],[QuadSort]],Games[QuadSort],1),"")</f>
        <v>2</v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3</v>
      </c>
      <c r="S21" s="22">
        <v>44</v>
      </c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3.0000007200792749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44.000000720079278</v>
      </c>
      <c r="V21">
        <f ca="1">_xlfn.RANK.EQ(Games[[#This Row],[Sort]],Games[Sort],1)</f>
        <v>3</v>
      </c>
      <c r="W21">
        <f ca="1">IF(ISNUMBER(Games[[#This Row],[QuadRank]]),_xlfn.RANK.EQ(Games[[#This Row],[QuadSort]],Games[QuadSort],1),"")</f>
        <v>44</v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73</v>
      </c>
      <c r="S22" s="22">
        <v>45</v>
      </c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73.000002661968196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45.000002661968196</v>
      </c>
      <c r="V22">
        <f ca="1">_xlfn.RANK.EQ(Games[[#This Row],[Sort]],Games[Sort],1)</f>
        <v>73</v>
      </c>
      <c r="W22">
        <f ca="1">IF(ISNUMBER(Games[[#This Row],[QuadRank]]),_xlfn.RANK.EQ(Games[[#This Row],[QuadSort]],Games[QuadSort],1),"")</f>
        <v>45</v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72</v>
      </c>
      <c r="S23" s="22">
        <v>46</v>
      </c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72.000000381081819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46.000000381081826</v>
      </c>
      <c r="V23">
        <f ca="1">_xlfn.RANK.EQ(Games[[#This Row],[Sort]],Games[Sort],1)</f>
        <v>72</v>
      </c>
      <c r="W23">
        <f ca="1">IF(ISNUMBER(Games[[#This Row],[QuadRank]]),_xlfn.RANK.EQ(Games[[#This Row],[QuadSort]],Games[QuadSort],1),"")</f>
        <v>46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71</v>
      </c>
      <c r="S24" s="22">
        <v>47</v>
      </c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47.000002096598251</v>
      </c>
      <c r="V24">
        <f ca="1">_xlfn.RANK.EQ(Games[[#This Row],[Sort]],Games[Sort],1)</f>
        <v>71</v>
      </c>
      <c r="W24">
        <f ca="1">IF(ISNUMBER(Games[[#This Row],[QuadRank]]),_xlfn.RANK.EQ(Games[[#This Row],[QuadSort]],Games[QuadSort],1),"")</f>
        <v>47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37</v>
      </c>
      <c r="S25" s="22">
        <v>20</v>
      </c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37.000001824160428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20.000001824160432</v>
      </c>
      <c r="V25">
        <f ca="1">_xlfn.RANK.EQ(Games[[#This Row],[Sort]],Games[Sort],1)</f>
        <v>37</v>
      </c>
      <c r="W25">
        <f ca="1">IF(ISNUMBER(Games[[#This Row],[QuadRank]]),_xlfn.RANK.EQ(Games[[#This Row],[QuadSort]],Games[QuadSort],1),"")</f>
        <v>20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12</v>
      </c>
      <c r="S26" s="22">
        <v>9</v>
      </c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12.000001976859471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9.0000019768594708</v>
      </c>
      <c r="V26">
        <f ca="1">_xlfn.RANK.EQ(Games[[#This Row],[Sort]],Games[Sort],1)</f>
        <v>12</v>
      </c>
      <c r="W26">
        <f ca="1">IF(ISNUMBER(Games[[#This Row],[QuadRank]]),_xlfn.RANK.EQ(Games[[#This Row],[QuadSort]],Games[QuadSort],1),"")</f>
        <v>9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16</v>
      </c>
      <c r="S27" s="22">
        <v>27</v>
      </c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27.000001993911567</v>
      </c>
      <c r="V27">
        <f ca="1">_xlfn.RANK.EQ(Games[[#This Row],[Sort]],Games[Sort],1)</f>
        <v>16</v>
      </c>
      <c r="W27">
        <f ca="1">IF(ISNUMBER(Games[[#This Row],[QuadRank]]),_xlfn.RANK.EQ(Games[[#This Row],[QuadSort]],Games[QuadSort],1),"")</f>
        <v>27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39</v>
      </c>
      <c r="S28" s="22">
        <v>48</v>
      </c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48.000000055361426</v>
      </c>
      <c r="V28">
        <f ca="1">_xlfn.RANK.EQ(Games[[#This Row],[Sort]],Games[Sort],1)</f>
        <v>39</v>
      </c>
      <c r="W28">
        <f ca="1">IF(ISNUMBER(Games[[#This Row],[QuadRank]]),_xlfn.RANK.EQ(Games[[#This Row],[QuadSort]],Games[QuadSort],1),"")</f>
        <v>48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70</v>
      </c>
      <c r="S29" s="22">
        <v>49</v>
      </c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70.000000514201076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49.000000514201083</v>
      </c>
      <c r="V29">
        <f ca="1">_xlfn.RANK.EQ(Games[[#This Row],[Sort]],Games[Sort],1)</f>
        <v>70</v>
      </c>
      <c r="W29">
        <f ca="1">IF(ISNUMBER(Games[[#This Row],[QuadRank]]),_xlfn.RANK.EQ(Games[[#This Row],[QuadSort]],Games[QuadSort],1),"")</f>
        <v>49</v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69</v>
      </c>
      <c r="S30" s="22">
        <v>50</v>
      </c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69.000002229717509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50.000002229717509</v>
      </c>
      <c r="V30">
        <f ca="1">_xlfn.RANK.EQ(Games[[#This Row],[Sort]],Games[Sort],1)</f>
        <v>69</v>
      </c>
      <c r="W30">
        <f ca="1">IF(ISNUMBER(Games[[#This Row],[QuadRank]]),_xlfn.RANK.EQ(Games[[#This Row],[QuadSort]],Games[QuadSort],1),"")</f>
        <v>50</v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15</v>
      </c>
      <c r="S31" s="22">
        <v>19</v>
      </c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15.000001729081729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19.000001729081728</v>
      </c>
      <c r="V31">
        <f ca="1">_xlfn.RANK.EQ(Games[[#This Row],[Sort]],Games[Sort],1)</f>
        <v>15</v>
      </c>
      <c r="W31">
        <f ca="1">IF(ISNUMBER(Games[[#This Row],[QuadRank]]),_xlfn.RANK.EQ(Games[[#This Row],[QuadSort]],Games[QuadSort],1),"")</f>
        <v>19</v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13</v>
      </c>
      <c r="S32" s="22">
        <v>8</v>
      </c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13.000002187921389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8.000002187921389</v>
      </c>
      <c r="V32">
        <f ca="1">_xlfn.RANK.EQ(Games[[#This Row],[Sort]],Games[Sort],1)</f>
        <v>13</v>
      </c>
      <c r="W32">
        <f ca="1">IF(ISNUMBER(Games[[#This Row],[QuadRank]]),_xlfn.RANK.EQ(Games[[#This Row],[QuadSort]],Games[QuadSort],1),"")</f>
        <v>8</v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20</v>
      </c>
      <c r="S33" s="22">
        <v>26</v>
      </c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20.000001391909741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26.000001391909741</v>
      </c>
      <c r="V33">
        <f ca="1">_xlfn.RANK.EQ(Games[[#This Row],[Sort]],Games[Sort],1)</f>
        <v>20</v>
      </c>
      <c r="W33">
        <f ca="1">IF(ISNUMBER(Games[[#This Row],[QuadRank]]),_xlfn.RANK.EQ(Games[[#This Row],[QuadSort]],Games[QuadSort],1),"")</f>
        <v>26</v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46</v>
      </c>
      <c r="S34" s="22">
        <v>51</v>
      </c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46.000000594072631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51.000000594072631</v>
      </c>
      <c r="V34">
        <f ca="1">_xlfn.RANK.EQ(Games[[#This Row],[Sort]],Games[Sort],1)</f>
        <v>46</v>
      </c>
      <c r="W34">
        <f ca="1">IF(ISNUMBER(Games[[#This Row],[QuadRank]]),_xlfn.RANK.EQ(Games[[#This Row],[QuadSort]],Games[QuadSort],1),"")</f>
        <v>51</v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68</v>
      </c>
      <c r="S35" s="22">
        <v>52</v>
      </c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52.000001052912296</v>
      </c>
      <c r="V35">
        <f ca="1">_xlfn.RANK.EQ(Games[[#This Row],[Sort]],Games[Sort],1)</f>
        <v>68</v>
      </c>
      <c r="W35">
        <f ca="1">IF(ISNUMBER(Games[[#This Row],[QuadRank]]),_xlfn.RANK.EQ(Games[[#This Row],[QuadSort]],Games[QuadSort],1),"")</f>
        <v>52</v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67</v>
      </c>
      <c r="S36" s="22">
        <v>53</v>
      </c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53.000000256900648</v>
      </c>
      <c r="V36">
        <f ca="1">_xlfn.RANK.EQ(Games[[#This Row],[Sort]],Games[Sort],1)</f>
        <v>67</v>
      </c>
      <c r="W36">
        <f ca="1">IF(ISNUMBER(Games[[#This Row],[QuadRank]]),_xlfn.RANK.EQ(Games[[#This Row],[QuadSort]],Games[QuadSort],1),"")</f>
        <v>53</v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66</v>
      </c>
      <c r="S37" s="22">
        <v>54</v>
      </c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66.000001591623501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54.000001591623509</v>
      </c>
      <c r="V37">
        <f ca="1">_xlfn.RANK.EQ(Games[[#This Row],[Sort]],Games[Sort],1)</f>
        <v>66</v>
      </c>
      <c r="W37">
        <f ca="1">IF(ISNUMBER(Games[[#This Row],[QuadRank]]),_xlfn.RANK.EQ(Games[[#This Row],[QuadSort]],Games[QuadSort],1),"")</f>
        <v>54</v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65</v>
      </c>
      <c r="S38" s="22">
        <v>55</v>
      </c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55.000001644871205</v>
      </c>
      <c r="V38">
        <f ca="1">_xlfn.RANK.EQ(Games[[#This Row],[Sort]],Games[Sort],1)</f>
        <v>65</v>
      </c>
      <c r="W38">
        <f ca="1">IF(ISNUMBER(Games[[#This Row],[QuadRank]]),_xlfn.RANK.EQ(Games[[#This Row],[QuadSort]],Games[QuadSort],1),"")</f>
        <v>55</v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64</v>
      </c>
      <c r="S39" s="22">
        <v>56</v>
      </c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64.000000620661609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56.000000620661609</v>
      </c>
      <c r="V39">
        <f ca="1">_xlfn.RANK.EQ(Games[[#This Row],[Sort]],Games[Sort],1)</f>
        <v>64</v>
      </c>
      <c r="W39">
        <f ca="1">IF(ISNUMBER(Games[[#This Row],[QuadRank]]),_xlfn.RANK.EQ(Games[[#This Row],[QuadSort]],Games[QuadSort],1),"")</f>
        <v>56</v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9</v>
      </c>
      <c r="S40" s="22">
        <v>57</v>
      </c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9.000002334352569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57.000002334352573</v>
      </c>
      <c r="V40">
        <f ca="1">_xlfn.RANK.EQ(Games[[#This Row],[Sort]],Games[Sort],1)</f>
        <v>9</v>
      </c>
      <c r="W40">
        <f ca="1">IF(ISNUMBER(Games[[#This Row],[QuadRank]]),_xlfn.RANK.EQ(Games[[#This Row],[QuadSort]],Games[QuadSort],1),"")</f>
        <v>57</v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5</v>
      </c>
      <c r="S41" s="22">
        <v>4</v>
      </c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5.0000000534662004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4.0000000534662004</v>
      </c>
      <c r="V41">
        <f ca="1">_xlfn.RANK.EQ(Games[[#This Row],[Sort]],Games[Sort],1)</f>
        <v>5</v>
      </c>
      <c r="W41">
        <f ca="1">IF(ISNUMBER(Games[[#This Row],[QuadRank]]),_xlfn.RANK.EQ(Games[[#This Row],[QuadSort]],Games[QuadSort],1),"")</f>
        <v>4</v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1</v>
      </c>
      <c r="S42" s="22">
        <v>58</v>
      </c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1.0000019971805829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58.000001997180583</v>
      </c>
      <c r="V42">
        <f ca="1">_xlfn.RANK.EQ(Games[[#This Row],[Sort]],Games[Sort],1)</f>
        <v>1</v>
      </c>
      <c r="W42">
        <f ca="1">IF(ISNUMBER(Games[[#This Row],[QuadRank]]),_xlfn.RANK.EQ(Games[[#This Row],[QuadSort]],Games[QuadSort],1),"")</f>
        <v>58</v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43</v>
      </c>
      <c r="S43" s="22">
        <v>59</v>
      </c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43.000001579998674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59.000001579998674</v>
      </c>
      <c r="V43">
        <f ca="1">_xlfn.RANK.EQ(Games[[#This Row],[Sort]],Games[Sort],1)</f>
        <v>43</v>
      </c>
      <c r="W43">
        <f ca="1">IF(ISNUMBER(Games[[#This Row],[QuadRank]]),_xlfn.RANK.EQ(Games[[#This Row],[QuadSort]],Games[QuadSort],1),"")</f>
        <v>59</v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63</v>
      </c>
      <c r="S44" s="22">
        <v>60</v>
      </c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60.000002038838332</v>
      </c>
      <c r="V44">
        <f ca="1">_xlfn.RANK.EQ(Games[[#This Row],[Sort]],Games[Sort],1)</f>
        <v>63</v>
      </c>
      <c r="W44">
        <f ca="1">IF(ISNUMBER(Games[[#This Row],[QuadRank]]),_xlfn.RANK.EQ(Games[[#This Row],[QuadSort]],Games[QuadSort],1),"")</f>
        <v>60</v>
      </c>
      <c r="X44" s="5" t="s">
        <v>56</v>
      </c>
      <c r="Y44" s="5"/>
    </row>
    <row r="45" spans="2:25" x14ac:dyDescent="0.25">
      <c r="B45" s="12" t="b">
        <v>1</v>
      </c>
      <c r="C45" t="s">
        <v>28</v>
      </c>
      <c r="D45" s="13">
        <v>7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62</v>
      </c>
      <c r="S45" s="22">
        <v>61</v>
      </c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62.000000216791619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61.000000216791619</v>
      </c>
      <c r="V45">
        <f ca="1">_xlfn.RANK.EQ(Games[[#This Row],[Sort]],Games[Sort],1)</f>
        <v>62</v>
      </c>
      <c r="W45">
        <f ca="1">IF(ISNUMBER(Games[[#This Row],[QuadRank]]),_xlfn.RANK.EQ(Games[[#This Row],[QuadSort]],Games[QuadSort],1),"")</f>
        <v>61</v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26</v>
      </c>
      <c r="S46" s="22">
        <v>18</v>
      </c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18.000000447433322</v>
      </c>
      <c r="V46">
        <f ca="1">_xlfn.RANK.EQ(Games[[#This Row],[Sort]],Games[Sort],1)</f>
        <v>26</v>
      </c>
      <c r="W46">
        <f ca="1">IF(ISNUMBER(Games[[#This Row],[QuadRank]]),_xlfn.RANK.EQ(Games[[#This Row],[QuadSort]],Games[QuadSort],1),"")</f>
        <v>18</v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11</v>
      </c>
      <c r="S47" s="22">
        <v>7</v>
      </c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11.000002391147707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7.0000023911477056</v>
      </c>
      <c r="V47">
        <f ca="1">_xlfn.RANK.EQ(Games[[#This Row],[Sort]],Games[Sort],1)</f>
        <v>11</v>
      </c>
      <c r="W47">
        <f ca="1">IF(ISNUMBER(Games[[#This Row],[QuadRank]]),_xlfn.RANK.EQ(Games[[#This Row],[QuadSort]],Games[QuadSort],1),"")</f>
        <v>7</v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25</v>
      </c>
      <c r="S48" s="22">
        <v>24</v>
      </c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25.000000879710949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24.000000879710949</v>
      </c>
      <c r="V48">
        <f ca="1">_xlfn.RANK.EQ(Games[[#This Row],[Sort]],Games[Sort],1)</f>
        <v>25</v>
      </c>
      <c r="W48">
        <f ca="1">IF(ISNUMBER(Games[[#This Row],[QuadRank]]),_xlfn.RANK.EQ(Games[[#This Row],[QuadSort]],Games[QuadSort],1),"")</f>
        <v>24</v>
      </c>
      <c r="X48" s="5"/>
      <c r="Y48" s="5"/>
    </row>
    <row r="49" spans="2:25" x14ac:dyDescent="0.25">
      <c r="B49" s="12" t="b">
        <v>1</v>
      </c>
      <c r="C49" t="s">
        <v>28</v>
      </c>
      <c r="D49" s="13">
        <v>14</v>
      </c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29</v>
      </c>
      <c r="S49" s="22">
        <v>17</v>
      </c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17.00000058055258</v>
      </c>
      <c r="V49">
        <f ca="1">_xlfn.RANK.EQ(Games[[#This Row],[Sort]],Games[Sort],1)</f>
        <v>29</v>
      </c>
      <c r="W49">
        <f ca="1">IF(ISNUMBER(Games[[#This Row],[QuadRank]]),_xlfn.RANK.EQ(Games[[#This Row],[QuadSort]],Games[QuadSort],1),"")</f>
        <v>17</v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19</v>
      </c>
      <c r="S50" s="22">
        <v>10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19.000001143471152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10.000001143471154</v>
      </c>
      <c r="V50">
        <f ca="1">_xlfn.RANK.EQ(Games[[#This Row],[Sort]],Games[Sort],1)</f>
        <v>19</v>
      </c>
      <c r="W50">
        <f ca="1">IF(ISNUMBER(Games[[#This Row],[QuadRank]]),_xlfn.RANK.EQ(Games[[#This Row],[QuadSort]],Games[QuadSort],1),"")</f>
        <v>10</v>
      </c>
      <c r="X50" s="5"/>
      <c r="Y50" s="5"/>
    </row>
    <row r="51" spans="2:25" x14ac:dyDescent="0.25">
      <c r="B51" s="12" t="b">
        <v>1</v>
      </c>
      <c r="C51" t="s">
        <v>30</v>
      </c>
      <c r="D51" s="13">
        <v>1</v>
      </c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31</v>
      </c>
      <c r="S51" s="22">
        <v>25</v>
      </c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31.000000243380594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25.000000243380594</v>
      </c>
      <c r="V51">
        <f ca="1">_xlfn.RANK.EQ(Games[[#This Row],[Sort]],Games[Sort],1)</f>
        <v>31</v>
      </c>
      <c r="W51">
        <f ca="1">IF(ISNUMBER(Games[[#This Row],[QuadRank]]),_xlfn.RANK.EQ(Games[[#This Row],[QuadSort]],Games[QuadSort],1),"")</f>
        <v>25</v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44</v>
      </c>
      <c r="S52" s="22">
        <v>62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44.000002185269516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62.000002185269516</v>
      </c>
      <c r="V52">
        <f ca="1">_xlfn.RANK.EQ(Games[[#This Row],[Sort]],Games[Sort],1)</f>
        <v>44</v>
      </c>
      <c r="W52">
        <f ca="1">IF(ISNUMBER(Games[[#This Row],[QuadRank]]),_xlfn.RANK.EQ(Games[[#This Row],[QuadSort]],Games[QuadSort],1),"")</f>
        <v>62</v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61</v>
      </c>
      <c r="S53" s="22">
        <v>63</v>
      </c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63.000002644109173</v>
      </c>
      <c r="V53">
        <f ca="1">_xlfn.RANK.EQ(Games[[#This Row],[Sort]],Games[Sort],1)</f>
        <v>61</v>
      </c>
      <c r="W53">
        <f ca="1">IF(ISNUMBER(Games[[#This Row],[QuadRank]]),_xlfn.RANK.EQ(Games[[#This Row],[QuadSort]],Games[QuadSort],1),"")</f>
        <v>63</v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60</v>
      </c>
      <c r="S54" s="22">
        <v>64</v>
      </c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60.000001848097526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64.000001848097526</v>
      </c>
      <c r="V54">
        <f ca="1">_xlfn.RANK.EQ(Games[[#This Row],[Sort]],Games[Sort],1)</f>
        <v>60</v>
      </c>
      <c r="W54">
        <f ca="1">IF(ISNUMBER(Games[[#This Row],[QuadRank]]),_xlfn.RANK.EQ(Games[[#This Row],[QuadSort]],Games[QuadSort],1),"")</f>
        <v>64</v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8</v>
      </c>
      <c r="S55" s="22">
        <v>6</v>
      </c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8.000001119263791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6.0000011192637919</v>
      </c>
      <c r="V55">
        <f ca="1">_xlfn.RANK.EQ(Games[[#This Row],[Sort]],Games[Sort],1)</f>
        <v>8</v>
      </c>
      <c r="W55">
        <f ca="1">IF(ISNUMBER(Games[[#This Row],[QuadRank]]),_xlfn.RANK.EQ(Games[[#This Row],[QuadSort]],Games[QuadSort],1),"")</f>
        <v>6</v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7</v>
      </c>
      <c r="S56" s="22">
        <v>1</v>
      </c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7.0000003232521468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1.0000003232521464</v>
      </c>
      <c r="V56">
        <f ca="1">_xlfn.RANK.EQ(Games[[#This Row],[Sort]],Games[Sort],1)</f>
        <v>7</v>
      </c>
      <c r="W56">
        <f ca="1">IF(ISNUMBER(Games[[#This Row],[QuadRank]]),_xlfn.RANK.EQ(Games[[#This Row],[QuadSort]],Games[QuadSort],1),"")</f>
        <v>1</v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10</v>
      </c>
      <c r="S57" s="22">
        <v>23</v>
      </c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10.000000782091805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23.000000782091806</v>
      </c>
      <c r="V57">
        <f ca="1">_xlfn.RANK.EQ(Games[[#This Row],[Sort]],Games[Sort],1)</f>
        <v>10</v>
      </c>
      <c r="W57">
        <f ca="1">IF(ISNUMBER(Games[[#This Row],[QuadRank]]),_xlfn.RANK.EQ(Games[[#This Row],[QuadSort]],Games[QuadSort],1),"")</f>
        <v>23</v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59</v>
      </c>
      <c r="S58" s="22">
        <v>65</v>
      </c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59.000000443094358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65.000000443094351</v>
      </c>
      <c r="V58">
        <f ca="1">_xlfn.RANK.EQ(Games[[#This Row],[Sort]],Games[Sort],1)</f>
        <v>59</v>
      </c>
      <c r="W58">
        <f ca="1">IF(ISNUMBER(Games[[#This Row],[QuadRank]]),_xlfn.RANK.EQ(Games[[#This Row],[QuadSort]],Games[QuadSort],1),"")</f>
        <v>65</v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58</v>
      </c>
      <c r="S59" s="22">
        <v>66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66.000000901934015</v>
      </c>
      <c r="V59">
        <f ca="1">_xlfn.RANK.EQ(Games[[#This Row],[Sort]],Games[Sort],1)</f>
        <v>58</v>
      </c>
      <c r="W59">
        <f ca="1">IF(ISNUMBER(Games[[#This Row],[QuadRank]]),_xlfn.RANK.EQ(Games[[#This Row],[QuadSort]],Games[QuadSort],1),"")</f>
        <v>66</v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57</v>
      </c>
      <c r="S60" s="22">
        <v>67</v>
      </c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67.000002211858487</v>
      </c>
      <c r="V60">
        <f ca="1">_xlfn.RANK.EQ(Games[[#This Row],[Sort]],Games[Sort],1)</f>
        <v>57</v>
      </c>
      <c r="W60">
        <f ca="1">IF(ISNUMBER(Games[[#This Row],[QuadRank]]),_xlfn.RANK.EQ(Games[[#This Row],[QuadSort]],Games[QuadSort],1),"")</f>
        <v>67</v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36</v>
      </c>
      <c r="S61" s="22">
        <v>16</v>
      </c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36.000001185823422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16.000001185823418</v>
      </c>
      <c r="V61">
        <f ca="1">_xlfn.RANK.EQ(Games[[#This Row],[Sort]],Games[Sort],1)</f>
        <v>36</v>
      </c>
      <c r="W61">
        <f ca="1">IF(ISNUMBER(Games[[#This Row],[QuadRank]]),_xlfn.RANK.EQ(Games[[#This Row],[QuadSort]],Games[QuadSort],1),"")</f>
        <v>16</v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6</v>
      </c>
      <c r="S62" s="22">
        <v>5</v>
      </c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6.0000015317384667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5.0000015317384667</v>
      </c>
      <c r="V62">
        <f ca="1">_xlfn.RANK.EQ(Games[[#This Row],[Sort]],Games[Sort],1)</f>
        <v>6</v>
      </c>
      <c r="W62">
        <f ca="1">IF(ISNUMBER(Games[[#This Row],[QuadRank]]),_xlfn.RANK.EQ(Games[[#This Row],[QuadSort]],Games[QuadSort],1),"")</f>
        <v>5</v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14</v>
      </c>
      <c r="S63" s="22">
        <v>68</v>
      </c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14.000000848651434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68.000000848651439</v>
      </c>
      <c r="V63">
        <f ca="1">_xlfn.RANK.EQ(Games[[#This Row],[Sort]],Games[Sort],1)</f>
        <v>14</v>
      </c>
      <c r="W63">
        <f ca="1">IF(ISNUMBER(Games[[#This Row],[QuadRank]]),_xlfn.RANK.EQ(Games[[#This Row],[QuadSort]],Games[QuadSort],1),"")</f>
        <v>68</v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27</v>
      </c>
      <c r="S64" s="22">
        <v>15</v>
      </c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27.000001724534631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15.000001724534632</v>
      </c>
      <c r="V64">
        <f ca="1">_xlfn.RANK.EQ(Games[[#This Row],[Sort]],Games[Sort],1)</f>
        <v>27</v>
      </c>
      <c r="W64">
        <f ca="1">IF(ISNUMBER(Games[[#This Row],[QuadRank]]),_xlfn.RANK.EQ(Games[[#This Row],[QuadSort]],Games[QuadSort],1),"")</f>
        <v>15</v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17</v>
      </c>
      <c r="S65" s="22">
        <v>12</v>
      </c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17.000002411572247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12.000002411572247</v>
      </c>
      <c r="V65">
        <f ca="1">_xlfn.RANK.EQ(Games[[#This Row],[Sort]],Games[Sort],1)</f>
        <v>17</v>
      </c>
      <c r="W65">
        <f ca="1">IF(ISNUMBER(Games[[#This Row],[QuadRank]]),_xlfn.RANK.EQ(Games[[#This Row],[QuadSort]],Games[QuadSort],1),"")</f>
        <v>12</v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18</v>
      </c>
      <c r="S66" s="22">
        <v>22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18.000001387362644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22.000001387362644</v>
      </c>
      <c r="V66">
        <f ca="1">_xlfn.RANK.EQ(Games[[#This Row],[Sort]],Games[Sort],1)</f>
        <v>18</v>
      </c>
      <c r="W66">
        <f ca="1">IF(ISNUMBER(Games[[#This Row],[QuadRank]]),_xlfn.RANK.EQ(Games[[#This Row],[QuadSort]],Games[QuadSort],1),"")</f>
        <v>22</v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42</v>
      </c>
      <c r="S67" s="22">
        <v>69</v>
      </c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42.000000589525534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69.000000589525541</v>
      </c>
      <c r="V67">
        <f ca="1">_xlfn.RANK.EQ(Games[[#This Row],[Sort]],Games[Sort],1)</f>
        <v>42</v>
      </c>
      <c r="W67">
        <f ca="1">IF(ISNUMBER(Games[[#This Row],[QuadRank]]),_xlfn.RANK.EQ(Games[[#This Row],[QuadSort]],Games[QuadSort],1),"")</f>
        <v>69</v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56</v>
      </c>
      <c r="S68" s="22">
        <v>70</v>
      </c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56.000001048365199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70.000001048365192</v>
      </c>
      <c r="V68">
        <f ca="1">_xlfn.RANK.EQ(Games[[#This Row],[Sort]],Games[Sort],1)</f>
        <v>56</v>
      </c>
      <c r="W68">
        <f ca="1">IF(ISNUMBER(Games[[#This Row],[QuadRank]]),_xlfn.RANK.EQ(Games[[#This Row],[QuadSort]],Games[QuadSort],1),"")</f>
        <v>70</v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55</v>
      </c>
      <c r="S69" s="22">
        <v>71</v>
      </c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55.000002358289663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71.000002358289663</v>
      </c>
      <c r="V69">
        <f ca="1">_xlfn.RANK.EQ(Games[[#This Row],[Sort]],Games[Sort],1)</f>
        <v>55</v>
      </c>
      <c r="W69">
        <f ca="1">IF(ISNUMBER(Games[[#This Row],[QuadRank]]),_xlfn.RANK.EQ(Games[[#This Row],[QuadSort]],Games[QuadSort],1),"")</f>
        <v>71</v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54</v>
      </c>
      <c r="S70" s="22">
        <v>72</v>
      </c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54.000002032604144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72.000002032604144</v>
      </c>
      <c r="V70">
        <f ca="1">_xlfn.RANK.EQ(Games[[#This Row],[Sort]],Games[Sort],1)</f>
        <v>54</v>
      </c>
      <c r="W70">
        <f ca="1">IF(ISNUMBER(Games[[#This Row],[QuadRank]]),_xlfn.RANK.EQ(Games[[#This Row],[QuadSort]],Games[QuadSort],1),"")</f>
        <v>72</v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33</v>
      </c>
      <c r="S71" s="22">
        <v>73</v>
      </c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33.000002263245847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73.000002263245847</v>
      </c>
      <c r="V71">
        <f ca="1">_xlfn.RANK.EQ(Games[[#This Row],[Sort]],Games[Sort],1)</f>
        <v>33</v>
      </c>
      <c r="W71">
        <f ca="1">IF(ISNUMBER(Games[[#This Row],[QuadRank]]),_xlfn.RANK.EQ(Games[[#This Row],[QuadSort]],Games[QuadSort],1),"")</f>
        <v>73</v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28</v>
      </c>
      <c r="S72" s="22">
        <v>14</v>
      </c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28.000002544691501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14.000002544691503</v>
      </c>
      <c r="V72">
        <f ca="1">_xlfn.RANK.EQ(Games[[#This Row],[Sort]],Games[Sort],1)</f>
        <v>28</v>
      </c>
      <c r="W72">
        <f ca="1">IF(ISNUMBER(Games[[#This Row],[QuadRank]]),_xlfn.RANK.EQ(Games[[#This Row],[QuadSort]],Games[QuadSort],1),"")</f>
        <v>14</v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34</v>
      </c>
      <c r="S73" s="22">
        <v>21</v>
      </c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21.000001520481902</v>
      </c>
      <c r="V73">
        <f ca="1">_xlfn.RANK.EQ(Games[[#This Row],[Sort]],Games[Sort],1)</f>
        <v>34</v>
      </c>
      <c r="W73">
        <f ca="1">IF(ISNUMBER(Games[[#This Row],[QuadRank]]),_xlfn.RANK.EQ(Games[[#This Row],[QuadSort]],Games[QuadSort],1),"")</f>
        <v>21</v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53</v>
      </c>
      <c r="S74" s="22">
        <v>74</v>
      </c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74.00000118148445</v>
      </c>
      <c r="V74">
        <f ca="1">_xlfn.RANK.EQ(Games[[#This Row],[Sort]],Games[Sort],1)</f>
        <v>53</v>
      </c>
      <c r="W74">
        <f ca="1">IF(ISNUMBER(Games[[#This Row],[QuadRank]]),_xlfn.RANK.EQ(Games[[#This Row],[QuadSort]],Games[QuadSort],1),"")</f>
        <v>74</v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52</v>
      </c>
      <c r="S75" s="22">
        <v>75</v>
      </c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52.000001640324108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75.000001640324115</v>
      </c>
      <c r="V75">
        <f ca="1">_xlfn.RANK.EQ(Games[[#This Row],[Sort]],Games[Sort],1)</f>
        <v>52</v>
      </c>
      <c r="W75">
        <f ca="1">IF(ISNUMBER(Games[[#This Row],[QuadRank]]),_xlfn.RANK.EQ(Games[[#This Row],[QuadSort]],Games[QuadSort],1),"")</f>
        <v>75</v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51</v>
      </c>
      <c r="S76" s="22">
        <v>76</v>
      </c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51.000000616114512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76.000000616114505</v>
      </c>
      <c r="V76">
        <f ca="1">_xlfn.RANK.EQ(Games[[#This Row],[Sort]],Games[Sort],1)</f>
        <v>51</v>
      </c>
      <c r="W76">
        <f ca="1">IF(ISNUMBER(Games[[#This Row],[QuadRank]]),_xlfn.RANK.EQ(Games[[#This Row],[QuadSort]],Games[QuadSort],1),"")</f>
        <v>76</v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50</v>
      </c>
      <c r="S77" s="22">
        <v>77</v>
      </c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77.000001720195669</v>
      </c>
      <c r="V77">
        <f ca="1">_xlfn.RANK.EQ(Games[[#This Row],[Sort]],Games[Sort],1)</f>
        <v>50</v>
      </c>
      <c r="W77">
        <f ca="1">IF(ISNUMBER(Games[[#This Row],[QuadRank]]),_xlfn.RANK.EQ(Games[[#This Row],[QuadSort]],Games[QuadSort],1),"")</f>
        <v>77</v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49</v>
      </c>
      <c r="S78" s="22">
        <v>78</v>
      </c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78.000001950837373</v>
      </c>
      <c r="V78">
        <f ca="1">_xlfn.RANK.EQ(Games[[#This Row],[Sort]],Games[Sort],1)</f>
        <v>49</v>
      </c>
      <c r="W78">
        <f ca="1">IF(ISNUMBER(Games[[#This Row],[QuadRank]]),_xlfn.RANK.EQ(Games[[#This Row],[QuadSort]],Games[QuadSort],1),"")</f>
        <v>78</v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48</v>
      </c>
      <c r="S79" s="22">
        <v>79</v>
      </c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48.000002637874978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79.000002637874985</v>
      </c>
      <c r="V79">
        <f ca="1">_xlfn.RANK.EQ(Games[[#This Row],[Sort]],Games[Sort],1)</f>
        <v>48</v>
      </c>
      <c r="W79">
        <f ca="1">IF(ISNUMBER(Games[[#This Row],[QuadRank]]),_xlfn.RANK.EQ(Games[[#This Row],[QuadSort]],Games[QuadSort],1),"")</f>
        <v>79</v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24</v>
      </c>
      <c r="S80" s="22">
        <v>80</v>
      </c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24.000002462924726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80.000002462924726</v>
      </c>
      <c r="V80">
        <f ca="1">_xlfn.RANK.EQ(Games[[#This Row],[Sort]],Games[Sort],1)</f>
        <v>24</v>
      </c>
      <c r="W80">
        <f ca="1">IF(ISNUMBER(Games[[#This Row],[QuadRank]]),_xlfn.RANK.EQ(Games[[#This Row],[QuadSort]],Games[QuadSort],1),"")</f>
        <v>80</v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23</v>
      </c>
      <c r="S81" s="22">
        <v>13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23.000000410236314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13.000000410236314</v>
      </c>
      <c r="V81">
        <f ca="1">_xlfn.RANK.EQ(Games[[#This Row],[Sort]],Games[Sort],1)</f>
        <v>23</v>
      </c>
      <c r="W81">
        <f ca="1">IF(ISNUMBER(Games[[#This Row],[QuadRank]]),_xlfn.RANK.EQ(Games[[#This Row],[QuadSort]],Games[QuadSort],1),"")</f>
        <v>13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22</v>
      </c>
      <c r="S82" s="22">
        <v>81</v>
      </c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22.000001104638066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81.000001104638059</v>
      </c>
      <c r="V82">
        <f ca="1">_xlfn.RANK.EQ(Games[[#This Row],[Sort]],Games[Sort],1)</f>
        <v>22</v>
      </c>
      <c r="W82">
        <f ca="1">IF(ISNUMBER(Games[[#This Row],[QuadRank]]),_xlfn.RANK.EQ(Games[[#This Row],[QuadSort]],Games[QuadSort],1),"")</f>
        <v>81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2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8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2026-09-25T00:30:08Z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