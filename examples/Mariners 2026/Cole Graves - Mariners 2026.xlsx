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8_{66155FD3-9551-4FCF-A532-8A59C4215DDD}" xr6:coauthVersionLast="47" xr6:coauthVersionMax="47" xr10:uidLastSave="{00000000-0000-0000-0000-000000000000}"/>
  <bookViews>
    <workbookView xWindow="18580" yWindow="73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" i="1" l="1"/>
  <c r="AE28" i="1"/>
  <c r="AE24" i="1"/>
  <c r="AF24" i="1" s="1"/>
  <c r="AF28" i="1" s="1"/>
  <c r="AE27" i="1"/>
  <c r="AF27" i="1" s="1"/>
  <c r="AD24" i="1"/>
  <c r="AD25" i="1"/>
  <c r="AE25" i="1" s="1"/>
  <c r="AF25" i="1" s="1"/>
  <c r="AD26" i="1"/>
  <c r="AE26" i="1" s="1"/>
  <c r="AF26" i="1" s="1"/>
  <c r="AD27" i="1"/>
  <c r="AD2" i="1"/>
  <c r="AE2" i="1"/>
  <c r="AD3" i="1"/>
  <c r="AE3" i="1"/>
  <c r="AC17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Q79" i="1" l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<sst xmlns="http://schemas.openxmlformats.org/spreadsheetml/2006/main" count="283" uniqueCount="109">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</sst>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4" borderId="0" xfId="0" applyFill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B3C82011-7D75-43BD-993B-E0851F041EA9}"/>
    <cellStyle name="Normal 3" xfId="2" xr:uid="{00000000-0005-0000-0000-000004000000}"/>
    <cellStyle name="Normal 3 2" xfId="8" xr:uid="{5C140916-2C57-43CA-8B97-D139557785A8}"/>
    <cellStyle name="Normal 4" xfId="3" xr:uid="{00000000-0005-0000-0000-000005000000}"/>
    <cellStyle name="Normal 4 2" xfId="9" xr:uid="{1B4B5C6B-CA52-4C80-89D0-0A7539329A5C}"/>
    <cellStyle name="Normal 5" xfId="5" xr:uid="{AF0439D6-8192-4E89-93DB-F527DA4E9322}"/>
    <cellStyle name="Normal 5 2" xfId="10" xr:uid="{E154DCC7-6BB6-4D08-8B5F-723F6DA0D1A1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R2" sqref="R2:R82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6" t="s">
        <v>2</v>
      </c>
      <c r="K1" s="17" t="s">
        <v>0</v>
      </c>
      <c r="L1" s="18" t="s">
        <v>1</v>
      </c>
      <c r="M1" s="16" t="s">
        <v>4</v>
      </c>
      <c r="N1" s="18" t="s">
        <v>86</v>
      </c>
      <c r="O1" s="18" t="s">
        <v>88</v>
      </c>
      <c r="P1" s="18" t="s">
        <v>95</v>
      </c>
      <c r="Q1" s="18" t="s">
        <v>96</v>
      </c>
      <c r="R1" s="19" t="s">
        <v>3</v>
      </c>
      <c r="S1" s="19" t="s">
        <v>87</v>
      </c>
      <c r="T1" s="18" t="s">
        <v>75</v>
      </c>
      <c r="U1" s="18" t="s">
        <v>94</v>
      </c>
      <c r="V1" s="18" t="s">
        <v>89</v>
      </c>
      <c r="W1" s="18" t="s">
        <v>90</v>
      </c>
      <c r="X1" s="16" t="s">
        <v>92</v>
      </c>
      <c r="Y1" s="16" t="s">
        <v>93</v>
      </c>
      <c r="AA1" s="16" t="s">
        <v>91</v>
      </c>
      <c r="AB1" s="16" t="s">
        <v>76</v>
      </c>
      <c r="AC1" s="16" t="s">
        <v>77</v>
      </c>
      <c r="AD1" s="16" t="s">
        <v>82</v>
      </c>
      <c r="AE1" s="16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3">
        <v>52</v>
      </c>
      <c r="S2" s="15"/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52.000002599747532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2.5997475344585639E-6</v>
      </c>
      <c r="V2">
        <f ca="1">_xlfn.RANK.EQ(Games[[#This Row],[Sort]],Games[Sort],1)</f>
        <v>52</v>
      </c>
      <c r="W2" t="str">
        <f>IF(ISNUMBER(Games[[#This Row],[QuadRank]]),_xlfn.RANK.EQ(Games[[#This Row],[QuadSort]],Games[QuadSort],1),"")</f>
        <v/>
      </c>
      <c r="X2" s="5" t="s">
        <v>38</v>
      </c>
      <c r="Y2" s="5"/>
      <c r="AA2" s="20" t="s">
        <v>79</v>
      </c>
      <c r="AB2" s="21">
        <v>14</v>
      </c>
      <c r="AC2" s="21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3">
        <v>51</v>
      </c>
      <c r="S3" s="15"/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51.000000280913888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2.8091389111766259E-7</v>
      </c>
      <c r="V3">
        <f ca="1">_xlfn.RANK.EQ(Games[[#This Row],[Sort]],Games[Sort],1)</f>
        <v>51</v>
      </c>
      <c r="W3" t="str">
        <f>IF(ISNUMBER(Games[[#This Row],[QuadRank]]),_xlfn.RANK.EQ(Games[[#This Row],[QuadSort]],Games[QuadSort],1),"")</f>
        <v/>
      </c>
      <c r="X3" s="5" t="s">
        <v>39</v>
      </c>
      <c r="Y3" s="5"/>
      <c r="AA3" s="20" t="s">
        <v>99</v>
      </c>
      <c r="AB3" s="21">
        <v>0</v>
      </c>
      <c r="AC3" s="21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3">
        <v>32</v>
      </c>
      <c r="S4" s="15"/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32.000001005898781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1.0058987809166516E-6</v>
      </c>
      <c r="V4">
        <f ca="1">_xlfn.RANK.EQ(Games[[#This Row],[Sort]],Games[Sort],1)</f>
        <v>32</v>
      </c>
      <c r="W4" t="str">
        <f>IF(ISNUMBER(Games[[#This Row],[QuadRank]]),_xlfn.RANK.EQ(Games[[#This Row],[QuadSort]],Games[QuadSort],1),"")</f>
        <v/>
      </c>
      <c r="X4" s="5" t="s">
        <v>40</v>
      </c>
      <c r="Y4" s="5"/>
      <c r="AA4" s="20" t="s">
        <v>100</v>
      </c>
      <c r="AB4" s="21">
        <v>5</v>
      </c>
      <c r="AC4" s="21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3">
        <v>57</v>
      </c>
      <c r="S5" s="15"/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57.000000311218301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3.1121830353896096E-7</v>
      </c>
      <c r="V5">
        <f ca="1">_xlfn.RANK.EQ(Games[[#This Row],[Sort]],Games[Sort],1)</f>
        <v>57</v>
      </c>
      <c r="W5" t="str">
        <f>IF(ISNUMBER(Games[[#This Row],[QuadRank]]),_xlfn.RANK.EQ(Games[[#This Row],[QuadSort]],Games[QuadSort],1),"")</f>
        <v/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3">
        <v>56</v>
      </c>
      <c r="S6" s="15"/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56.000001517986142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1.5179861419872471E-6</v>
      </c>
      <c r="V6">
        <f ca="1">_xlfn.RANK.EQ(Games[[#This Row],[Sort]],Games[Sort],1)</f>
        <v>56</v>
      </c>
      <c r="W6" t="str">
        <f>IF(ISNUMBER(Games[[#This Row],[QuadRank]]),_xlfn.RANK.EQ(Games[[#This Row],[QuadSort]],Games[QuadSort],1),"")</f>
        <v/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3">
        <v>78</v>
      </c>
      <c r="S7" s="15"/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78.0000019768258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1.9768258008136326E-6</v>
      </c>
      <c r="V7">
        <f ca="1">_xlfn.RANK.EQ(Games[[#This Row],[Sort]],Games[Sort],1)</f>
        <v>78</v>
      </c>
      <c r="W7" t="str">
        <f>IF(ISNUMBER(Games[[#This Row],[QuadRank]]),_xlfn.RANK.EQ(Games[[#This Row],[QuadSort]],Games[QuadSort],1),"")</f>
        <v/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3">
        <v>77</v>
      </c>
      <c r="S8" s="15"/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77.000000952616205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9.5261619936623798E-7</v>
      </c>
      <c r="V8">
        <f ca="1">_xlfn.RANK.EQ(Games[[#This Row],[Sort]],Games[Sort],1)</f>
        <v>77</v>
      </c>
      <c r="W8" t="str">
        <f>IF(ISNUMBER(Games[[#This Row],[QuadRank]]),_xlfn.RANK.EQ(Games[[#This Row],[QuadSort]],Games[QuadSort],1),"")</f>
        <v/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3">
        <v>25</v>
      </c>
      <c r="S9" s="15"/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25.000000680178378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6.80178377700791E-7</v>
      </c>
      <c r="V9">
        <f ca="1">_xlfn.RANK.EQ(Games[[#This Row],[Sort]],Games[Sort],1)</f>
        <v>25</v>
      </c>
      <c r="W9" t="str">
        <f>IF(ISNUMBER(Games[[#This Row],[QuadRank]]),_xlfn.RANK.EQ(Games[[#This Row],[QuadSort]],Games[QuadSort],1),"")</f>
        <v/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3">
        <v>14</v>
      </c>
      <c r="S10" s="15"/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14.000001139018037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1.1390180365271764E-6</v>
      </c>
      <c r="V10">
        <f ca="1">_xlfn.RANK.EQ(Games[[#This Row],[Sort]],Games[Sort],1)</f>
        <v>14</v>
      </c>
      <c r="W10" t="str">
        <f>IF(ISNUMBER(Games[[#This Row],[QuadRank]]),_xlfn.RANK.EQ(Games[[#This Row],[QuadSort]],Games[QuadSort],1),"")</f>
        <v/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3">
        <v>26</v>
      </c>
      <c r="S11" s="15"/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26.000000114808437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1.1480843507978197E-7</v>
      </c>
      <c r="V11">
        <f ca="1">_xlfn.RANK.EQ(Games[[#This Row],[Sort]],Games[Sort],1)</f>
        <v>26</v>
      </c>
      <c r="W11" t="str">
        <f>IF(ISNUMBER(Games[[#This Row],[QuadRank]]),_xlfn.RANK.EQ(Games[[#This Row],[QuadSort]],Games[QuadSort],1),"")</f>
        <v/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3">
        <v>7</v>
      </c>
      <c r="S12" s="15"/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7.0000005736480935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5.7364809390616746E-7</v>
      </c>
      <c r="V12">
        <f ca="1">_xlfn.RANK.EQ(Games[[#This Row],[Sort]],Games[Sort],1)</f>
        <v>7</v>
      </c>
      <c r="W12" t="str">
        <f>IF(ISNUMBER(Games[[#This Row],[QuadRank]]),_xlfn.RANK.EQ(Games[[#This Row],[QuadSort]],Games[QuadSort],1),"")</f>
        <v/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3">
        <v>36</v>
      </c>
      <c r="S13" s="15"/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36.000001152329965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1.1523299620882289E-6</v>
      </c>
      <c r="V13">
        <f ca="1">_xlfn.RANK.EQ(Games[[#This Row],[Sort]],Games[Sort],1)</f>
        <v>36</v>
      </c>
      <c r="W13" t="str">
        <f>IF(ISNUMBER(Games[[#This Row],[QuadRank]]),_xlfn.RANK.EQ(Games[[#This Row],[QuadSort]],Games[QuadSort],1),"")</f>
        <v/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3">
        <v>34</v>
      </c>
      <c r="S14" s="15"/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34.000000899437048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8.994370456529807E-7</v>
      </c>
      <c r="V14">
        <f ca="1">_xlfn.RANK.EQ(Games[[#This Row],[Sort]],Games[Sort],1)</f>
        <v>34</v>
      </c>
      <c r="W14" t="str">
        <f>IF(ISNUMBER(Games[[#This Row],[QuadRank]]),_xlfn.RANK.EQ(Games[[#This Row],[QuadSort]],Games[QuadSort],1),"")</f>
        <v/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3">
        <v>35</v>
      </c>
      <c r="S15" s="15"/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35.000000181368065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1.8136806288504437E-7</v>
      </c>
      <c r="V15">
        <f ca="1">_xlfn.RANK.EQ(Games[[#This Row],[Sort]],Games[Sort],1)</f>
        <v>35</v>
      </c>
      <c r="W15" t="str">
        <f>IF(ISNUMBER(Games[[#This Row],[QuadRank]]),_xlfn.RANK.EQ(Games[[#This Row],[QuadSort]],Games[QuadSort],1),"")</f>
        <v/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3">
        <v>44</v>
      </c>
      <c r="S16" s="15"/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44.000002123256984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2.1232569819852096E-6</v>
      </c>
      <c r="V16">
        <f ca="1">_xlfn.RANK.EQ(Games[[#This Row],[Sort]],Games[Sort],1)</f>
        <v>44</v>
      </c>
      <c r="W16" t="str">
        <f>IF(ISNUMBER(Games[[#This Row],[QuadRank]]),_xlfn.RANK.EQ(Games[[#This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3">
        <v>76</v>
      </c>
      <c r="S17" s="15"/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76.000002582096641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2.5820966408115951E-6</v>
      </c>
      <c r="V17">
        <f ca="1">_xlfn.RANK.EQ(Games[[#This Row],[Sort]],Games[Sort],1)</f>
        <v>76</v>
      </c>
      <c r="W17" t="str">
        <f>IF(ISNUMBER(Games[[#This Row],[QuadRank]]),_xlfn.RANK.EQ(Games[[#This Row],[QuadSort]],Games[QuadSort],1),"")</f>
        <v/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3">
        <v>70</v>
      </c>
      <c r="S18" s="15"/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70.000001557887046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1.5578870393642007E-6</v>
      </c>
      <c r="V18">
        <f ca="1">_xlfn.RANK.EQ(Games[[#This Row],[Sort]],Games[Sort],1)</f>
        <v>70</v>
      </c>
      <c r="W18" t="str">
        <f>IF(ISNUMBER(Games[[#This Row],[QuadRank]]),_xlfn.RANK.EQ(Games[[#This Row],[QuadSort]],Games[QuadSort],1),"")</f>
        <v/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3">
        <v>29</v>
      </c>
      <c r="S19" s="15"/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29.000001030385654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1.0303856537052213E-6</v>
      </c>
      <c r="V19">
        <f ca="1">_xlfn.RANK.EQ(Games[[#This Row],[Sort]],Games[Sort],1)</f>
        <v>29</v>
      </c>
      <c r="W19" t="str">
        <f>IF(ISNUMBER(Games[[#This Row],[QuadRank]]),_xlfn.RANK.EQ(Games[[#This Row],[QuadSort]],Games[QuadSort],1),"")</f>
        <v/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3">
        <v>10</v>
      </c>
      <c r="S20" s="15"/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10.000001744288877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1.7442888765251391E-6</v>
      </c>
      <c r="V20">
        <f ca="1">_xlfn.RANK.EQ(Games[[#This Row],[Sort]],Games[Sort],1)</f>
        <v>10</v>
      </c>
      <c r="W20" t="str">
        <f>IF(ISNUMBER(Games[[#This Row],[QuadRank]]),_xlfn.RANK.EQ(Games[[#This Row],[QuadSort]],Games[QuadSort],1),"")</f>
        <v/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3">
        <v>19</v>
      </c>
      <c r="S21" s="15"/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19.000000720079274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7.200792750777447E-7</v>
      </c>
      <c r="V21">
        <f ca="1">_xlfn.RANK.EQ(Games[[#This Row],[Sort]],Games[Sort],1)</f>
        <v>19</v>
      </c>
      <c r="W21" t="str">
        <f>IF(ISNUMBER(Games[[#This Row],[QuadRank]]),_xlfn.RANK.EQ(Games[[#This Row],[QuadSort]],Games[QuadSort],1),"")</f>
        <v/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3">
        <v>5</v>
      </c>
      <c r="S22" s="15"/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5.0000026619681943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2.6619681941779101E-6</v>
      </c>
      <c r="V22">
        <f ca="1">_xlfn.RANK.EQ(Games[[#This Row],[Sort]],Games[Sort],1)</f>
        <v>5</v>
      </c>
      <c r="W22" t="str">
        <f>IF(ISNUMBER(Games[[#This Row],[QuadRank]]),_xlfn.RANK.EQ(Games[[#This Row],[QuadSort]],Games[QuadSort],1),"")</f>
        <v/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3">
        <v>75</v>
      </c>
      <c r="S23" s="15"/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75.000000381081819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3.8108182560703524E-7</v>
      </c>
      <c r="V23">
        <f ca="1">_xlfn.RANK.EQ(Games[[#This Row],[Sort]],Games[Sort],1)</f>
        <v>75</v>
      </c>
      <c r="W23" t="str">
        <f>IF(ISNUMBER(Games[[#This Row],[QuadRank]]),_xlfn.RANK.EQ(Games[[#This Row],[QuadSort]],Games[QuadSort],1),"")</f>
        <v/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3">
        <v>69</v>
      </c>
      <c r="S24" s="15"/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69.000002096598251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2.096598251556901E-6</v>
      </c>
      <c r="V24">
        <f ca="1">_xlfn.RANK.EQ(Games[[#This Row],[Sort]],Games[Sort],1)</f>
        <v>69</v>
      </c>
      <c r="W24" t="str">
        <f>IF(ISNUMBER(Games[[#This Row],[QuadRank]]),_xlfn.RANK.EQ(Games[[#This Row],[QuadSort]],Games[QuadSort],1),"")</f>
        <v/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2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3">
        <v>23</v>
      </c>
      <c r="S25" s="15"/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23.000001824160432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1.8241604298914541E-6</v>
      </c>
      <c r="V25">
        <f ca="1">_xlfn.RANK.EQ(Games[[#This Row],[Sort]],Games[Sort],1)</f>
        <v>23</v>
      </c>
      <c r="W25" t="str">
        <f>IF(ISNUMBER(Games[[#This Row],[QuadRank]]),_xlfn.RANK.EQ(Games[[#This Row],[QuadSort]],Games[QuadSort],1),"")</f>
        <v/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2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3">
        <v>45</v>
      </c>
      <c r="S26" s="15"/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45.000001976859473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1.9768594700383814E-6</v>
      </c>
      <c r="V26">
        <f ca="1">_xlfn.RANK.EQ(Games[[#This Row],[Sort]],Games[Sort],1)</f>
        <v>45</v>
      </c>
      <c r="W26" t="str">
        <f>IF(ISNUMBER(Games[[#This Row],[QuadRank]]),_xlfn.RANK.EQ(Games[[#This Row],[QuadSort]],Games[QuadSort],1),"")</f>
        <v/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2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3">
        <v>1</v>
      </c>
      <c r="S27" s="15"/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1.0000019939115679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1.9939115679223242E-6</v>
      </c>
      <c r="V27">
        <f ca="1">_xlfn.RANK.EQ(Games[[#This Row],[Sort]],Games[Sort],1)</f>
        <v>1</v>
      </c>
      <c r="W27" t="str">
        <f>IF(ISNUMBER(Games[[#This Row],[QuadRank]]),_xlfn.RANK.EQ(Games[[#This Row],[QuadSort]],Games[QuadSort],1),"")</f>
        <v/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2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3">
        <v>15</v>
      </c>
      <c r="S28" s="15"/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15.000000055361422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5.5361422391174589E-8</v>
      </c>
      <c r="V28">
        <f ca="1">_xlfn.RANK.EQ(Games[[#This Row],[Sort]],Games[Sort],1)</f>
        <v>15</v>
      </c>
      <c r="W28" t="str">
        <f>IF(ISNUMBER(Games[[#This Row],[QuadRank]]),_xlfn.RANK.EQ(Games[[#This Row],[QuadSort]],Games[QuadSort],1),"")</f>
        <v/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2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3">
        <v>74</v>
      </c>
      <c r="S29" s="15"/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74.000000514201076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5.1420108121756008E-7</v>
      </c>
      <c r="V29">
        <f ca="1">_xlfn.RANK.EQ(Games[[#This Row],[Sort]],Games[Sort],1)</f>
        <v>74</v>
      </c>
      <c r="W29" t="str">
        <f>IF(ISNUMBER(Games[[#This Row],[QuadRank]]),_xlfn.RANK.EQ(Games[[#This Row],[QuadSort]],Games[QuadSort],1),"")</f>
        <v/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3">
        <v>68</v>
      </c>
      <c r="S30" s="15"/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68.000002229717509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2.2297175071674259E-6</v>
      </c>
      <c r="V30">
        <f ca="1">_xlfn.RANK.EQ(Games[[#This Row],[Sort]],Games[Sort],1)</f>
        <v>68</v>
      </c>
      <c r="W30" t="str">
        <f>IF(ISNUMBER(Games[[#This Row],[QuadRank]]),_xlfn.RANK.EQ(Games[[#This Row],[QuadSort]],Games[QuadSort],1),"")</f>
        <v/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3">
        <v>33</v>
      </c>
      <c r="S31" s="15"/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33.000001729081731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1.7290817292994016E-6</v>
      </c>
      <c r="V31">
        <f ca="1">_xlfn.RANK.EQ(Games[[#This Row],[Sort]],Games[Sort],1)</f>
        <v>33</v>
      </c>
      <c r="W31" t="str">
        <f>IF(ISNUMBER(Games[[#This Row],[QuadRank]]),_xlfn.RANK.EQ(Games[[#This Row],[QuadSort]],Games[QuadSort],1),"")</f>
        <v/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3">
        <v>30</v>
      </c>
      <c r="S32" s="15"/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30.000002187921389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2.1879213881257869E-6</v>
      </c>
      <c r="V32">
        <f ca="1">_xlfn.RANK.EQ(Games[[#This Row],[Sort]],Games[Sort],1)</f>
        <v>30</v>
      </c>
      <c r="W32" t="str">
        <f>IF(ISNUMBER(Games[[#This Row],[QuadRank]]),_xlfn.RANK.EQ(Games[[#This Row],[QuadSort]],Games[QuadSort],1),"")</f>
        <v/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3">
        <v>12</v>
      </c>
      <c r="S33" s="15"/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12.000001391909743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1.3919097428809699E-6</v>
      </c>
      <c r="V33">
        <f ca="1">_xlfn.RANK.EQ(Games[[#This Row],[Sort]],Games[Sort],1)</f>
        <v>12</v>
      </c>
      <c r="W33" t="str">
        <f>IF(ISNUMBER(Games[[#This Row],[QuadRank]]),_xlfn.RANK.EQ(Games[[#This Row],[QuadSort]],Games[QuadSort],1),"")</f>
        <v/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3">
        <v>2</v>
      </c>
      <c r="S34" s="15"/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2.0000005940726346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5.9407263458387495E-7</v>
      </c>
      <c r="V34">
        <f ca="1">_xlfn.RANK.EQ(Games[[#This Row],[Sort]],Games[Sort],1)</f>
        <v>2</v>
      </c>
      <c r="W34" t="str">
        <f>IF(ISNUMBER(Games[[#This Row],[QuadRank]]),_xlfn.RANK.EQ(Games[[#This Row],[QuadSort]],Games[QuadSort],1),"")</f>
        <v/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3">
        <v>73</v>
      </c>
      <c r="S35" s="15"/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73.000001052912296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1.0529122934102603E-6</v>
      </c>
      <c r="V35">
        <f ca="1">_xlfn.RANK.EQ(Games[[#This Row],[Sort]],Games[Sort],1)</f>
        <v>73</v>
      </c>
      <c r="W35" t="str">
        <f>IF(ISNUMBER(Games[[#This Row],[QuadRank]]),_xlfn.RANK.EQ(Games[[#This Row],[QuadSort]],Games[QuadSort],1),"")</f>
        <v/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3">
        <v>67</v>
      </c>
      <c r="S36" s="15"/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67.000000256900648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2.5690064816544316E-7</v>
      </c>
      <c r="V36">
        <f ca="1">_xlfn.RANK.EQ(Games[[#This Row],[Sort]],Games[Sort],1)</f>
        <v>67</v>
      </c>
      <c r="W36" t="str">
        <f>IF(ISNUMBER(Games[[#This Row],[QuadRank]]),_xlfn.RANK.EQ(Games[[#This Row],[QuadSort]],Games[QuadSort],1),"")</f>
        <v/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3">
        <v>72</v>
      </c>
      <c r="S37" s="15"/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72.000001591623501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1.5916235056029608E-6</v>
      </c>
      <c r="V37">
        <f ca="1">_xlfn.RANK.EQ(Games[[#This Row],[Sort]],Games[Sort],1)</f>
        <v>72</v>
      </c>
      <c r="W37" t="str">
        <f>IF(ISNUMBER(Games[[#This Row],[QuadRank]]),_xlfn.RANK.EQ(Games[[#This Row],[QuadSort]],Games[QuadSort],1),"")</f>
        <v/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3">
        <v>66</v>
      </c>
      <c r="S38" s="15"/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66.000001644871205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1.6448712078471706E-6</v>
      </c>
      <c r="V38">
        <f ca="1">_xlfn.RANK.EQ(Games[[#This Row],[Sort]],Games[Sort],1)</f>
        <v>66</v>
      </c>
      <c r="W38" t="str">
        <f>IF(ISNUMBER(Games[[#This Row],[QuadRank]]),_xlfn.RANK.EQ(Games[[#This Row],[QuadSort]],Games[QuadSort],1),"")</f>
        <v/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3">
        <v>46</v>
      </c>
      <c r="S39" s="15"/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46.000000620661609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6.2066160639977615E-7</v>
      </c>
      <c r="V39">
        <f ca="1">_xlfn.RANK.EQ(Games[[#This Row],[Sort]],Games[Sort],1)</f>
        <v>46</v>
      </c>
      <c r="W39" t="str">
        <f>IF(ISNUMBER(Games[[#This Row],[QuadRank]]),_xlfn.RANK.EQ(Games[[#This Row],[QuadSort]],Games[QuadSort],1),"")</f>
        <v/>
      </c>
      <c r="X39" s="5" t="s">
        <v>55</v>
      </c>
      <c r="Y39" s="5"/>
    </row>
    <row r="40" spans="2:25" x14ac:dyDescent="0.25">
      <c r="B40" s="12" t="b">
        <v>0</v>
      </c>
      <c r="C40" t="s">
        <v>30</v>
      </c>
      <c r="D40" s="13"/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3">
        <v>16</v>
      </c>
      <c r="S40" s="15"/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16.000002334352569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2.3343525692973643E-6</v>
      </c>
      <c r="V40">
        <f ca="1">_xlfn.RANK.EQ(Games[[#This Row],[Sort]],Games[Sort],1)</f>
        <v>16</v>
      </c>
      <c r="W40" t="str">
        <f>IF(ISNUMBER(Games[[#This Row],[QuadRank]]),_xlfn.RANK.EQ(Games[[#This Row],[QuadSort]],Games[QuadSort],1),"")</f>
        <v/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3">
        <v>9</v>
      </c>
      <c r="S41" s="15"/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9.0000000534662004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5.3466200726489499E-8</v>
      </c>
      <c r="V41">
        <f ca="1">_xlfn.RANK.EQ(Games[[#This Row],[Sort]],Games[Sort],1)</f>
        <v>9</v>
      </c>
      <c r="W41" t="str">
        <f>IF(ISNUMBER(Games[[#This Row],[QuadRank]]),_xlfn.RANK.EQ(Games[[#This Row],[QuadSort]],Games[QuadSort],1),"")</f>
        <v/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3">
        <v>17</v>
      </c>
      <c r="S42" s="15"/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17.000001997180583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1.9971805828789324E-6</v>
      </c>
      <c r="V42">
        <f ca="1">_xlfn.RANK.EQ(Games[[#This Row],[Sort]],Games[Sort],1)</f>
        <v>17</v>
      </c>
      <c r="W42" t="str">
        <f>IF(ISNUMBER(Games[[#This Row],[QuadRank]]),_xlfn.RANK.EQ(Games[[#This Row],[QuadSort]],Games[QuadSort],1),"")</f>
        <v/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3">
        <v>55</v>
      </c>
      <c r="S43" s="15"/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55.000001579998674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1.5799986721616086E-6</v>
      </c>
      <c r="V43">
        <f ca="1">_xlfn.RANK.EQ(Games[[#This Row],[Sort]],Games[Sort],1)</f>
        <v>55</v>
      </c>
      <c r="W43" t="str">
        <f>IF(ISNUMBER(Games[[#This Row],[QuadRank]]),_xlfn.RANK.EQ(Games[[#This Row],[QuadSort]],Games[QuadSort],1),"")</f>
        <v/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3">
        <v>71</v>
      </c>
      <c r="S44" s="15"/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71.000002038838332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2.0388383309879938E-6</v>
      </c>
      <c r="V44">
        <f ca="1">_xlfn.RANK.EQ(Games[[#This Row],[Sort]],Games[Sort],1)</f>
        <v>71</v>
      </c>
      <c r="W44" t="str">
        <f>IF(ISNUMBER(Games[[#This Row],[QuadRank]]),_xlfn.RANK.EQ(Games[[#This Row],[QuadSort]],Games[QuadSort],1),"")</f>
        <v/>
      </c>
      <c r="X44" s="5" t="s">
        <v>56</v>
      </c>
      <c r="Y44" s="5"/>
    </row>
    <row r="45" spans="2:25" x14ac:dyDescent="0.25">
      <c r="B45" s="12" t="b">
        <v>0</v>
      </c>
      <c r="C45" t="s">
        <v>28</v>
      </c>
      <c r="D45" s="13"/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3">
        <v>54</v>
      </c>
      <c r="S45" s="15"/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54.000000216791619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2.1679162124350464E-7</v>
      </c>
      <c r="V45">
        <f ca="1">_xlfn.RANK.EQ(Games[[#This Row],[Sort]],Games[Sort],1)</f>
        <v>54</v>
      </c>
      <c r="W45" t="str">
        <f>IF(ISNUMBER(Games[[#This Row],[QuadRank]]),_xlfn.RANK.EQ(Games[[#This Row],[QuadSort]],Games[QuadSort],1),"")</f>
        <v/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3">
        <v>79</v>
      </c>
      <c r="S46" s="15"/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79.000000447433322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4.4743332386731284E-7</v>
      </c>
      <c r="V46">
        <f ca="1">_xlfn.RANK.EQ(Games[[#This Row],[Sort]],Games[Sort],1)</f>
        <v>79</v>
      </c>
      <c r="W46" t="str">
        <f>IF(ISNUMBER(Games[[#This Row],[QuadRank]]),_xlfn.RANK.EQ(Games[[#This Row],[QuadSort]],Games[QuadSort],1),"")</f>
        <v/>
      </c>
      <c r="X46" s="5" t="s">
        <v>52</v>
      </c>
      <c r="Y46" s="5"/>
    </row>
    <row r="47" spans="2:25" x14ac:dyDescent="0.25">
      <c r="B47" s="12" t="b">
        <v>0</v>
      </c>
      <c r="C47" t="s">
        <v>28</v>
      </c>
      <c r="D47" s="13"/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3">
        <v>80</v>
      </c>
      <c r="S47" s="15"/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80.000002391147703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2.3911477060197561E-6</v>
      </c>
      <c r="V47">
        <f ca="1">_xlfn.RANK.EQ(Games[[#This Row],[Sort]],Games[Sort],1)</f>
        <v>80</v>
      </c>
      <c r="W47" t="str">
        <f>IF(ISNUMBER(Games[[#This Row],[QuadRank]]),_xlfn.RANK.EQ(Games[[#This Row],[QuadSort]],Games[QuadSort],1),"")</f>
        <v/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3">
        <v>81</v>
      </c>
      <c r="S48" s="15"/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81.000000879710953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8.7971094970221385E-7</v>
      </c>
      <c r="V48">
        <f ca="1">_xlfn.RANK.EQ(Games[[#This Row],[Sort]],Games[Sort],1)</f>
        <v>81</v>
      </c>
      <c r="W48" t="str">
        <f>IF(ISNUMBER(Games[[#This Row],[QuadRank]]),_xlfn.RANK.EQ(Games[[#This Row],[QuadSort]],Games[QuadSort],1),"")</f>
        <v/>
      </c>
      <c r="X48" s="5"/>
      <c r="Y48" s="5"/>
    </row>
    <row r="49" spans="2:25" x14ac:dyDescent="0.25">
      <c r="B49" s="12" t="b">
        <v>0</v>
      </c>
      <c r="C49" t="s">
        <v>28</v>
      </c>
      <c r="D49" s="13"/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3">
        <v>13</v>
      </c>
      <c r="S49" s="15"/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13.00000058055258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5.8055257947783768E-7</v>
      </c>
      <c r="V49">
        <f ca="1">_xlfn.RANK.EQ(Games[[#This Row],[Sort]],Games[Sort],1)</f>
        <v>13</v>
      </c>
      <c r="W49" t="str">
        <f>IF(ISNUMBER(Games[[#This Row],[QuadRank]]),_xlfn.RANK.EQ(Games[[#This Row],[QuadSort]],Games[QuadSort],1),"")</f>
        <v/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3">
        <v>37</v>
      </c>
      <c r="S50" s="15"/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37.000001143471152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1.143471154141916E-6</v>
      </c>
      <c r="V50">
        <f ca="1">_xlfn.RANK.EQ(Games[[#This Row],[Sort]],Games[Sort],1)</f>
        <v>37</v>
      </c>
      <c r="W50" t="str">
        <f>IF(ISNUMBER(Games[[#This Row],[QuadRank]]),_xlfn.RANK.EQ(Games[[#This Row],[QuadSort]],Games[QuadSort],1),"")</f>
        <v/>
      </c>
      <c r="X50" s="5"/>
      <c r="Y50" s="5"/>
    </row>
    <row r="51" spans="2:25" x14ac:dyDescent="0.25">
      <c r="B51" s="12" t="b">
        <v>1</v>
      </c>
      <c r="C51" t="s">
        <v>30</v>
      </c>
      <c r="D51" s="13">
        <v>1</v>
      </c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3">
        <v>18</v>
      </c>
      <c r="S51" s="15"/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18.000000243380594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2.4338059305940589E-7</v>
      </c>
      <c r="V51">
        <f ca="1">_xlfn.RANK.EQ(Games[[#This Row],[Sort]],Games[Sort],1)</f>
        <v>18</v>
      </c>
      <c r="W51" t="str">
        <f>IF(ISNUMBER(Games[[#This Row],[QuadRank]]),_xlfn.RANK.EQ(Games[[#This Row],[QuadSort]],Games[QuadSort],1),"")</f>
        <v/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/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3">
        <v>11</v>
      </c>
      <c r="S52" s="15"/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11.000002185269512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2.1852695121595713E-6</v>
      </c>
      <c r="V52">
        <f ca="1">_xlfn.RANK.EQ(Games[[#This Row],[Sort]],Games[Sort],1)</f>
        <v>11</v>
      </c>
      <c r="W52" t="str">
        <f>IF(ISNUMBER(Games[[#This Row],[QuadRank]]),_xlfn.RANK.EQ(Games[[#This Row],[QuadSort]],Games[QuadSort],1),"")</f>
        <v/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3">
        <v>38</v>
      </c>
      <c r="S53" s="15"/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38.000002644109173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2.6441091709859568E-6</v>
      </c>
      <c r="V53">
        <f ca="1">_xlfn.RANK.EQ(Games[[#This Row],[Sort]],Games[Sort],1)</f>
        <v>38</v>
      </c>
      <c r="W53" t="str">
        <f>IF(ISNUMBER(Games[[#This Row],[QuadRank]]),_xlfn.RANK.EQ(Games[[#This Row],[QuadSort]],Games[QuadSort],1),"")</f>
        <v/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3">
        <v>65</v>
      </c>
      <c r="S54" s="15"/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65.000001848097526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1.8480975257411396E-6</v>
      </c>
      <c r="V54">
        <f ca="1">_xlfn.RANK.EQ(Games[[#This Row],[Sort]],Games[Sort],1)</f>
        <v>65</v>
      </c>
      <c r="W54" t="str">
        <f>IF(ISNUMBER(Games[[#This Row],[QuadRank]]),_xlfn.RANK.EQ(Games[[#This Row],[QuadSort]],Games[QuadSort],1),"")</f>
        <v/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3">
        <v>20</v>
      </c>
      <c r="S55" s="15"/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20.000001119263793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1.119263791670538E-6</v>
      </c>
      <c r="V55">
        <f ca="1">_xlfn.RANK.EQ(Games[[#This Row],[Sort]],Games[Sort],1)</f>
        <v>20</v>
      </c>
      <c r="W55" t="str">
        <f>IF(ISNUMBER(Games[[#This Row],[QuadRank]]),_xlfn.RANK.EQ(Games[[#This Row],[QuadSort]],Games[QuadSort],1),"")</f>
        <v/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3">
        <v>49</v>
      </c>
      <c r="S56" s="15"/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49.000000323252145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3.2325214642572076E-7</v>
      </c>
      <c r="V56">
        <f ca="1">_xlfn.RANK.EQ(Games[[#This Row],[Sort]],Games[Sort],1)</f>
        <v>49</v>
      </c>
      <c r="W56" t="str">
        <f>IF(ISNUMBER(Games[[#This Row],[QuadRank]]),_xlfn.RANK.EQ(Games[[#This Row],[QuadSort]],Games[QuadSort],1),"")</f>
        <v/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3">
        <v>24</v>
      </c>
      <c r="S57" s="15"/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24.000000782091806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7.8209180525210625E-7</v>
      </c>
      <c r="V57">
        <f ca="1">_xlfn.RANK.EQ(Games[[#This Row],[Sort]],Games[Sort],1)</f>
        <v>24</v>
      </c>
      <c r="W57" t="str">
        <f>IF(ISNUMBER(Games[[#This Row],[QuadRank]]),_xlfn.RANK.EQ(Games[[#This Row],[QuadSort]],Games[QuadSort],1),"")</f>
        <v/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3">
        <v>58</v>
      </c>
      <c r="S58" s="15"/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58.000000443094358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4.4309435578139679E-7</v>
      </c>
      <c r="V58">
        <f ca="1">_xlfn.RANK.EQ(Games[[#This Row],[Sort]],Games[Sort],1)</f>
        <v>58</v>
      </c>
      <c r="W58" t="str">
        <f>IF(ISNUMBER(Games[[#This Row],[QuadRank]]),_xlfn.RANK.EQ(Games[[#This Row],[QuadSort]],Games[QuadSort],1),"")</f>
        <v/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3">
        <v>64</v>
      </c>
      <c r="S59" s="15"/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64.000000901934015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9.0193401460778228E-7</v>
      </c>
      <c r="V59">
        <f ca="1">_xlfn.RANK.EQ(Games[[#This Row],[Sort]],Games[Sort],1)</f>
        <v>64</v>
      </c>
      <c r="W59" t="str">
        <f>IF(ISNUMBER(Games[[#This Row],[QuadRank]]),_xlfn.RANK.EQ(Games[[#This Row],[QuadSort]],Games[QuadSort],1),"")</f>
        <v/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3">
        <v>47</v>
      </c>
      <c r="S60" s="15"/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47.000002211858487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2.2118584839754726E-6</v>
      </c>
      <c r="V60">
        <f ca="1">_xlfn.RANK.EQ(Games[[#This Row],[Sort]],Games[Sort],1)</f>
        <v>47</v>
      </c>
      <c r="W60" t="str">
        <f>IF(ISNUMBER(Games[[#This Row],[QuadRank]]),_xlfn.RANK.EQ(Games[[#This Row],[QuadSort]],Games[QuadSort],1),"")</f>
        <v/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3">
        <v>21</v>
      </c>
      <c r="S61" s="15"/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21.000001185823418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1.1858234194758003E-6</v>
      </c>
      <c r="V61">
        <f ca="1">_xlfn.RANK.EQ(Games[[#This Row],[Sort]],Games[Sort],1)</f>
        <v>21</v>
      </c>
      <c r="W61" t="str">
        <f>IF(ISNUMBER(Games[[#This Row],[QuadRank]]),_xlfn.RANK.EQ(Games[[#This Row],[QuadSort]],Games[QuadSort],1),"")</f>
        <v/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3">
        <v>31</v>
      </c>
      <c r="S62" s="15"/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31.000001531738466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1.5317384670297169E-6</v>
      </c>
      <c r="V62">
        <f ca="1">_xlfn.RANK.EQ(Games[[#This Row],[Sort]],Games[Sort],1)</f>
        <v>31</v>
      </c>
      <c r="W62" t="str">
        <f>IF(ISNUMBER(Games[[#This Row],[QuadRank]]),_xlfn.RANK.EQ(Games[[#This Row],[QuadSort]],Games[QuadSort],1),"")</f>
        <v/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3">
        <v>8</v>
      </c>
      <c r="S63" s="15"/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8.0000008486514336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8.4865143305736862E-7</v>
      </c>
      <c r="V63">
        <f ca="1">_xlfn.RANK.EQ(Games[[#This Row],[Sort]],Games[Sort],1)</f>
        <v>8</v>
      </c>
      <c r="W63" t="str">
        <f>IF(ISNUMBER(Games[[#This Row],[QuadRank]]),_xlfn.RANK.EQ(Games[[#This Row],[QuadSort]],Games[QuadSort],1),"")</f>
        <v/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3">
        <v>22</v>
      </c>
      <c r="S64" s="15"/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22.000001724534631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1.7245346316685008E-6</v>
      </c>
      <c r="V64">
        <f ca="1">_xlfn.RANK.EQ(Games[[#This Row],[Sort]],Games[Sort],1)</f>
        <v>22</v>
      </c>
      <c r="W64" t="str">
        <f>IF(ISNUMBER(Games[[#This Row],[QuadRank]]),_xlfn.RANK.EQ(Games[[#This Row],[QuadSort]],Games[QuadSort],1),"")</f>
        <v/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3">
        <v>39</v>
      </c>
      <c r="S65" s="15"/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39.000002411572247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2.4115722466974633E-6</v>
      </c>
      <c r="V65">
        <f ca="1">_xlfn.RANK.EQ(Games[[#This Row],[Sort]],Games[Sort],1)</f>
        <v>39</v>
      </c>
      <c r="W65" t="str">
        <f>IF(ISNUMBER(Games[[#This Row],[QuadRank]]),_xlfn.RANK.EQ(Games[[#This Row],[QuadSort]],Games[QuadSort],1),"")</f>
        <v/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3">
        <v>4</v>
      </c>
      <c r="S66" s="15"/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4.0000013873626452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1.3873626452500689E-6</v>
      </c>
      <c r="V66">
        <f ca="1">_xlfn.RANK.EQ(Games[[#This Row],[Sort]],Games[Sort],1)</f>
        <v>4</v>
      </c>
      <c r="W66" t="str">
        <f>IF(ISNUMBER(Games[[#This Row],[QuadRank]]),_xlfn.RANK.EQ(Games[[#This Row],[QuadSort]],Games[QuadSort],1),"")</f>
        <v/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3">
        <v>3</v>
      </c>
      <c r="S67" s="15"/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3.0000005895255368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5.8952553695297402E-7</v>
      </c>
      <c r="V67">
        <f ca="1">_xlfn.RANK.EQ(Games[[#This Row],[Sort]],Games[Sort],1)</f>
        <v>3</v>
      </c>
      <c r="W67" t="str">
        <f>IF(ISNUMBER(Games[[#This Row],[QuadRank]]),_xlfn.RANK.EQ(Games[[#This Row],[QuadSort]],Games[QuadSort],1),"")</f>
        <v/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3">
        <v>63</v>
      </c>
      <c r="S68" s="15"/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63.000001048365199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1.0483651957793595E-6</v>
      </c>
      <c r="V68">
        <f ca="1">_xlfn.RANK.EQ(Games[[#This Row],[Sort]],Games[Sort],1)</f>
        <v>63</v>
      </c>
      <c r="W68" t="str">
        <f>IF(ISNUMBER(Games[[#This Row],[QuadRank]]),_xlfn.RANK.EQ(Games[[#This Row],[QuadSort]],Games[QuadSort],1),"")</f>
        <v/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3">
        <v>62</v>
      </c>
      <c r="S69" s="15"/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62.000002358289663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2.3582896651470496E-6</v>
      </c>
      <c r="V69">
        <f ca="1">_xlfn.RANK.EQ(Games[[#This Row],[Sort]],Games[Sort],1)</f>
        <v>62</v>
      </c>
      <c r="W69" t="str">
        <f>IF(ISNUMBER(Games[[#This Row],[QuadRank]]),_xlfn.RANK.EQ(Games[[#This Row],[QuadSort]],Games[QuadSort],1),"")</f>
        <v/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3">
        <v>50</v>
      </c>
      <c r="S70" s="15"/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50.000002032604144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2.0326041412373928E-6</v>
      </c>
      <c r="V70">
        <f ca="1">_xlfn.RANK.EQ(Games[[#This Row],[Sort]],Games[Sort],1)</f>
        <v>50</v>
      </c>
      <c r="W70" t="str">
        <f>IF(ISNUMBER(Games[[#This Row],[QuadRank]]),_xlfn.RANK.EQ(Games[[#This Row],[QuadSort]],Games[QuadSort],1),"")</f>
        <v/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3">
        <v>43</v>
      </c>
      <c r="S71" s="15"/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43.000002263245847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2.263245843861201E-6</v>
      </c>
      <c r="V71">
        <f ca="1">_xlfn.RANK.EQ(Games[[#This Row],[Sort]],Games[Sort],1)</f>
        <v>43</v>
      </c>
      <c r="W71" t="str">
        <f>IF(ISNUMBER(Games[[#This Row],[QuadRank]]),_xlfn.RANK.EQ(Games[[#This Row],[QuadSort]],Games[QuadSort],1),"")</f>
        <v/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3">
        <v>42</v>
      </c>
      <c r="S72" s="15"/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42.000002544691505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2.5446915023079882E-6</v>
      </c>
      <c r="V72">
        <f ca="1">_xlfn.RANK.EQ(Games[[#This Row],[Sort]],Games[Sort],1)</f>
        <v>42</v>
      </c>
      <c r="W72" t="str">
        <f>IF(ISNUMBER(Games[[#This Row],[QuadRank]]),_xlfn.RANK.EQ(Games[[#This Row],[QuadSort]],Games[QuadSort],1),"")</f>
        <v/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3">
        <v>41</v>
      </c>
      <c r="S73" s="15"/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41.000001520481902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1.5204819008605938E-6</v>
      </c>
      <c r="V73">
        <f ca="1">_xlfn.RANK.EQ(Games[[#This Row],[Sort]],Games[Sort],1)</f>
        <v>41</v>
      </c>
      <c r="W73" t="str">
        <f>IF(ISNUMBER(Games[[#This Row],[QuadRank]]),_xlfn.RANK.EQ(Games[[#This Row],[QuadSort]],Games[QuadSort],1),"")</f>
        <v/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3">
        <v>53</v>
      </c>
      <c r="S74" s="15"/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53.00000118148445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1.1814844513898843E-6</v>
      </c>
      <c r="V74">
        <f ca="1">_xlfn.RANK.EQ(Games[[#This Row],[Sort]],Games[Sort],1)</f>
        <v>53</v>
      </c>
      <c r="W74" t="str">
        <f>IF(ISNUMBER(Games[[#This Row],[QuadRank]]),_xlfn.RANK.EQ(Games[[#This Row],[QuadSort]],Games[QuadSort],1),"")</f>
        <v/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3">
        <v>61</v>
      </c>
      <c r="S75" s="15"/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61.000001640324108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1.6403241102162697E-6</v>
      </c>
      <c r="V75">
        <f ca="1">_xlfn.RANK.EQ(Games[[#This Row],[Sort]],Games[Sort],1)</f>
        <v>61</v>
      </c>
      <c r="W75" t="str">
        <f>IF(ISNUMBER(Games[[#This Row],[QuadRank]]),_xlfn.RANK.EQ(Games[[#This Row],[QuadSort]],Games[QuadSort],1),"")</f>
        <v/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3">
        <v>48</v>
      </c>
      <c r="S76" s="15"/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48.000000616114512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6.1611450876887533E-7</v>
      </c>
      <c r="V76">
        <f ca="1">_xlfn.RANK.EQ(Games[[#This Row],[Sort]],Games[Sort],1)</f>
        <v>48</v>
      </c>
      <c r="W76" t="str">
        <f>IF(ISNUMBER(Games[[#This Row],[QuadRank]]),_xlfn.RANK.EQ(Games[[#This Row],[QuadSort]],Games[QuadSort],1),"")</f>
        <v/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3">
        <v>59</v>
      </c>
      <c r="S77" s="15"/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59.000001720195662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1.7201956635825847E-6</v>
      </c>
      <c r="V77">
        <f ca="1">_xlfn.RANK.EQ(Games[[#This Row],[Sort]],Games[Sort],1)</f>
        <v>59</v>
      </c>
      <c r="W77" t="str">
        <f>IF(ISNUMBER(Games[[#This Row],[QuadRank]]),_xlfn.RANK.EQ(Games[[#This Row],[QuadSort]],Games[QuadSort],1),"")</f>
        <v/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3">
        <v>60</v>
      </c>
      <c r="S78" s="15"/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60.000001950837365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1.950837366206393E-6</v>
      </c>
      <c r="V78">
        <f ca="1">_xlfn.RANK.EQ(Games[[#This Row],[Sort]],Games[Sort],1)</f>
        <v>60</v>
      </c>
      <c r="W78" t="str">
        <f>IF(ISNUMBER(Games[[#This Row],[QuadRank]]),_xlfn.RANK.EQ(Games[[#This Row],[QuadSort]],Games[QuadSort],1),"")</f>
        <v/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3">
        <v>40</v>
      </c>
      <c r="S79" s="15"/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40.000002637874978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2.6378749812353557E-6</v>
      </c>
      <c r="V79">
        <f ca="1">_xlfn.RANK.EQ(Games[[#This Row],[Sort]],Games[Sort],1)</f>
        <v>40</v>
      </c>
      <c r="W79" t="str">
        <f>IF(ISNUMBER(Games[[#This Row],[QuadRank]]),_xlfn.RANK.EQ(Games[[#This Row],[QuadSort]],Games[QuadSort],1),"")</f>
        <v/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3">
        <v>6</v>
      </c>
      <c r="S80" s="15"/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6.0000024629247273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2.4629247272769884E-6</v>
      </c>
      <c r="V80">
        <f ca="1">_xlfn.RANK.EQ(Games[[#This Row],[Sort]],Games[Sort],1)</f>
        <v>6</v>
      </c>
      <c r="W80" t="str">
        <f>IF(ISNUMBER(Games[[#This Row],[QuadRank]]),_xlfn.RANK.EQ(Games[[#This Row],[QuadSort]],Games[QuadSort],1),"")</f>
        <v/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3">
        <v>27</v>
      </c>
      <c r="S81" s="15"/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27.000000410236314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4.1023631490869067E-7</v>
      </c>
      <c r="V81">
        <f ca="1">_xlfn.RANK.EQ(Games[[#This Row],[Sort]],Games[Sort],1)</f>
        <v>27</v>
      </c>
      <c r="W81" t="str">
        <f>IF(ISNUMBER(Games[[#This Row],[QuadRank]]),_xlfn.RANK.EQ(Games[[#This Row],[QuadSort]],Games[QuadSort],1),"")</f>
        <v/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3">
        <v>28</v>
      </c>
      <c r="S82" s="15"/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28.000001104638066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1.1046380646628875E-6</v>
      </c>
      <c r="V82">
        <f ca="1">_xlfn.RANK.EQ(Games[[#This Row],[Sort]],Games[Sort],1)</f>
        <v>28</v>
      </c>
      <c r="W82" t="str">
        <f>IF(ISNUMBER(Games[[#This Row],[QuadRank]]),_xlfn.RANK.EQ(Games[[#This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5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7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8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2026-09-25T00:01:41Z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