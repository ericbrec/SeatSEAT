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13_ncr:1_{F1F40AD9-48EB-43C6-9BF5-26A9A2092697}" xr6:coauthVersionLast="47" xr6:coauthVersionMax="47" xr10:uidLastSave="{00000000-0000-0000-0000-000000000000}"/>
  <bookViews>
    <workbookView xWindow="1410" yWindow="284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<sst xmlns="http://schemas.openxmlformats.org/spreadsheetml/2006/main" count="283" uniqueCount="109">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</sst>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5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4" borderId="0" xfId="0" applyFill="1" applyAlignment="1">
      <alignment vertical="center"/>
    </xf>
  </cellXfs>
  <cellStyles count="15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11" xr:uid="{5504D902-5198-4D35-AE27-D290FB59DF0A}"/>
    <cellStyle name="Normal 2 3" xfId="7" xr:uid="{A8E0C270-CCDB-4C00-B606-6C7B482914F0}"/>
    <cellStyle name="Normal 3" xfId="2" xr:uid="{00000000-0005-0000-0000-000004000000}"/>
    <cellStyle name="Normal 3 2" xfId="12" xr:uid="{F69B5436-4498-441B-AFC6-44D807AA6868}"/>
    <cellStyle name="Normal 3 3" xfId="8" xr:uid="{562BDC44-6BF2-4B06-B090-13A6976D0876}"/>
    <cellStyle name="Normal 4" xfId="3" xr:uid="{00000000-0005-0000-0000-000005000000}"/>
    <cellStyle name="Normal 4 2" xfId="13" xr:uid="{1F68B104-C78A-4EA4-B5C3-90B226927195}"/>
    <cellStyle name="Normal 4 3" xfId="9" xr:uid="{74558BA2-0A0D-433F-8B51-98698FC7F492}"/>
    <cellStyle name="Normal 5" xfId="5" xr:uid="{AF0439D6-8192-4E89-93DB-F527DA4E9322}"/>
    <cellStyle name="Normal 5 2" xfId="14" xr:uid="{B96CB21D-4868-4ECE-A66A-18B7A6FE0FEF}"/>
    <cellStyle name="Normal 5 3" xfId="10" xr:uid="{12BFBA9B-A64C-4095-8078-FA131D26B009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17" activePane="bottomLeft" state="frozen"/>
      <selection pane="bottomLeft" activeCell="D51" sqref="D51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86</v>
      </c>
      <c r="O1" s="18" t="s">
        <v>88</v>
      </c>
      <c r="P1" s="18" t="s">
        <v>95</v>
      </c>
      <c r="Q1" s="18" t="s">
        <v>96</v>
      </c>
      <c r="R1" s="19" t="s">
        <v>3</v>
      </c>
      <c r="S1" s="19" t="s">
        <v>87</v>
      </c>
      <c r="T1" s="18" t="s">
        <v>75</v>
      </c>
      <c r="U1" s="18" t="s">
        <v>94</v>
      </c>
      <c r="V1" s="18" t="s">
        <v>89</v>
      </c>
      <c r="W1" s="18" t="s">
        <v>90</v>
      </c>
      <c r="X1" s="16" t="s">
        <v>92</v>
      </c>
      <c r="Y1" s="16" t="s">
        <v>93</v>
      </c>
      <c r="AA1" s="16" t="s">
        <v>91</v>
      </c>
      <c r="AB1" s="16" t="s">
        <v>76</v>
      </c>
      <c r="AC1" s="16" t="s">
        <v>77</v>
      </c>
      <c r="AD1" s="16" t="s">
        <v>82</v>
      </c>
      <c r="AE1" s="16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1</v>
      </c>
      <c r="S2" s="15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1.0000021527012626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2.1527012625122316E-6</v>
      </c>
      <c r="V2">
        <f ca="1">_xlfn.RANK.EQ(Games[[#This Row],[Sort]],Games[Sort],1)</f>
        <v>1</v>
      </c>
      <c r="W2" t="str">
        <f>IF(ISNUMBER(Games[[#This Row],[QuadRank]]),_xlfn.RANK.EQ(Games[[#This Row],[QuadSort]],Games[QuadSort],1),"")</f>
        <v/>
      </c>
      <c r="X2" s="5" t="s">
        <v>38</v>
      </c>
      <c r="Y2" s="5"/>
      <c r="AA2" s="20" t="s">
        <v>79</v>
      </c>
      <c r="AB2" s="21">
        <v>14</v>
      </c>
      <c r="AC2" s="21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54</v>
      </c>
      <c r="S3" s="15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54.000002064214314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2.0642143119228623E-6</v>
      </c>
      <c r="V3">
        <f ca="1">_xlfn.RANK.EQ(Games[[#This Row],[Sort]],Games[Sort],1)</f>
        <v>54</v>
      </c>
      <c r="W3" t="str">
        <f>IF(ISNUMBER(Games[[#This Row],[QuadRank]]),_xlfn.RANK.EQ(Games[[#This Row],[QuadSort]],Games[QuadSort],1),"")</f>
        <v/>
      </c>
      <c r="X3" s="5" t="s">
        <v>39</v>
      </c>
      <c r="Y3" s="5"/>
      <c r="AA3" s="20" t="s">
        <v>99</v>
      </c>
      <c r="AB3" s="21">
        <v>0</v>
      </c>
      <c r="AC3" s="21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3</v>
      </c>
      <c r="S4" s="15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3.0000015272438652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1.5272438653731999E-6</v>
      </c>
      <c r="V4">
        <f ca="1">_xlfn.RANK.EQ(Games[[#This Row],[Sort]],Games[Sort],1)</f>
        <v>3</v>
      </c>
      <c r="W4" t="str">
        <f>IF(ISNUMBER(Games[[#This Row],[QuadRank]]),_xlfn.RANK.EQ(Games[[#This Row],[QuadSort]],Games[QuadSort],1),"")</f>
        <v/>
      </c>
      <c r="X4" s="5" t="s">
        <v>40</v>
      </c>
      <c r="Y4" s="5"/>
      <c r="AA4" s="20" t="s">
        <v>100</v>
      </c>
      <c r="AB4" s="21">
        <v>5</v>
      </c>
      <c r="AC4" s="21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53</v>
      </c>
      <c r="S5" s="15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53.000000977269991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9.7726999322743453E-7</v>
      </c>
      <c r="V5">
        <f ca="1">_xlfn.RANK.EQ(Games[[#This Row],[Sort]],Games[Sort],1)</f>
        <v>53</v>
      </c>
      <c r="W5" t="str">
        <f>IF(ISNUMBER(Games[[#This Row],[QuadRank]]),_xlfn.RANK.EQ(Games[[#This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52</v>
      </c>
      <c r="S6" s="15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52.00000079216111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7.9216110800737391E-7</v>
      </c>
      <c r="V6">
        <f ca="1">_xlfn.RANK.EQ(Games[[#This Row],[Sort]],Games[Sort],1)</f>
        <v>52</v>
      </c>
      <c r="W6" t="str">
        <f>IF(ISNUMBER(Games[[#This Row],[QuadRank]]),_xlfn.RANK.EQ(Games[[#This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51</v>
      </c>
      <c r="S7" s="15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51.000000433990671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4.3399067442506961E-7</v>
      </c>
      <c r="V7">
        <f ca="1">_xlfn.RANK.EQ(Games[[#This Row],[Sort]],Games[Sort],1)</f>
        <v>51</v>
      </c>
      <c r="W7" t="str">
        <f>IF(ISNUMBER(Games[[#This Row],[QuadRank]]),_xlfn.RANK.EQ(Games[[#This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50</v>
      </c>
      <c r="S8" s="15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50.000001635944905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1.6359449077193459E-6</v>
      </c>
      <c r="V8">
        <f ca="1">_xlfn.RANK.EQ(Games[[#This Row],[Sort]],Games[Sort],1)</f>
        <v>50</v>
      </c>
      <c r="W8" t="str">
        <f>IF(ISNUMBER(Games[[#This Row],[QuadRank]]),_xlfn.RANK.EQ(Games[[#This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35</v>
      </c>
      <c r="S9" s="15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35.0000023129965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2.3129965031953299E-6</v>
      </c>
      <c r="V9">
        <f ca="1">_xlfn.RANK.EQ(Games[[#This Row],[Sort]],Games[Sort],1)</f>
        <v>35</v>
      </c>
      <c r="W9" t="str">
        <f>IF(ISNUMBER(Games[[#This Row],[QuadRank]]),_xlfn.RANK.EQ(Games[[#This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81</v>
      </c>
      <c r="S10" s="15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81.000001954826075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1.9548260696130256E-6</v>
      </c>
      <c r="V10">
        <f ca="1">_xlfn.RANK.EQ(Games[[#This Row],[Sort]],Games[Sort],1)</f>
        <v>81</v>
      </c>
      <c r="W10" t="str">
        <f>IF(ISNUMBER(Games[[#This Row],[QuadRank]]),_xlfn.RANK.EQ(Games[[#This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34</v>
      </c>
      <c r="S11" s="15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34.000000417054274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4.1705427551004167E-7</v>
      </c>
      <c r="V11">
        <f ca="1">_xlfn.RANK.EQ(Games[[#This Row],[Sort]],Games[Sort],1)</f>
        <v>34</v>
      </c>
      <c r="W11" t="str">
        <f>IF(ISNUMBER(Games[[#This Row],[QuadRank]]),_xlfn.RANK.EQ(Games[[#This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33</v>
      </c>
      <c r="S12" s="15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33.000000058883842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5.8883841927737405E-8</v>
      </c>
      <c r="V12">
        <f ca="1">_xlfn.RANK.EQ(Games[[#This Row],[Sort]],Games[Sort],1)</f>
        <v>33</v>
      </c>
      <c r="W12" t="str">
        <f>IF(ISNUMBER(Games[[#This Row],[QuadRank]]),_xlfn.RANK.EQ(Games[[#This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74</v>
      </c>
      <c r="S13" s="15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74.000002545529497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2.5455294955164601E-6</v>
      </c>
      <c r="V13">
        <f ca="1">_xlfn.RANK.EQ(Games[[#This Row],[Sort]],Games[Sort],1)</f>
        <v>74</v>
      </c>
      <c r="W13" t="str">
        <f>IF(ISNUMBER(Games[[#This Row],[QuadRank]]),_xlfn.RANK.EQ(Games[[#This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73</v>
      </c>
      <c r="S14" s="15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73.00000111421879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1.1142187853892372E-6</v>
      </c>
      <c r="V14">
        <f ca="1">_xlfn.RANK.EQ(Games[[#This Row],[Sort]],Games[Sort],1)</f>
        <v>73</v>
      </c>
      <c r="W14" t="str">
        <f>IF(ISNUMBER(Games[[#This Row],[QuadRank]]),_xlfn.RANK.EQ(Games[[#This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80</v>
      </c>
      <c r="S15" s="15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80.000000630845378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6.3084537762995452E-7</v>
      </c>
      <c r="V15">
        <f ca="1">_xlfn.RANK.EQ(Games[[#This Row],[Sort]],Games[Sort],1)</f>
        <v>80</v>
      </c>
      <c r="W15" t="str">
        <f>IF(ISNUMBER(Games[[#This Row],[QuadRank]]),_xlfn.RANK.EQ(Games[[#This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32</v>
      </c>
      <c r="S16" s="15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32.000001452276308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1.45227630456833E-6</v>
      </c>
      <c r="V16">
        <f ca="1">_xlfn.RANK.EQ(Games[[#This Row],[Sort]],Games[Sort],1)</f>
        <v>32</v>
      </c>
      <c r="W16" t="str">
        <f>IF(ISNUMBER(Games[[#This Row],[QuadRank]]),_xlfn.RANK.EQ(Games[[#This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31</v>
      </c>
      <c r="S17" s="15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31.000001094105873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1.0941058709860257E-6</v>
      </c>
      <c r="V17">
        <f ca="1">_xlfn.RANK.EQ(Games[[#This Row],[Sort]],Games[Sort],1)</f>
        <v>31</v>
      </c>
      <c r="W17" t="str">
        <f>IF(ISNUMBER(Games[[#This Row],[QuadRank]]),_xlfn.RANK.EQ(Games[[#This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30</v>
      </c>
      <c r="S18" s="15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30.000002296060103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2.2960601042803019E-6</v>
      </c>
      <c r="V18">
        <f ca="1">_xlfn.RANK.EQ(Games[[#This Row],[Sort]],Games[Sort],1)</f>
        <v>30</v>
      </c>
      <c r="W18" t="str">
        <f>IF(ISNUMBER(Games[[#This Row],[QuadRank]]),_xlfn.RANK.EQ(Games[[#This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49</v>
      </c>
      <c r="S19" s="15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49.000002667743772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2.6677437751770836E-6</v>
      </c>
      <c r="V19">
        <f ca="1">_xlfn.RANK.EQ(Games[[#This Row],[Sort]],Games[Sort],1)</f>
        <v>49</v>
      </c>
      <c r="W19" t="str">
        <f>IF(ISNUMBER(Games[[#This Row],[QuadRank]]),_xlfn.RANK.EQ(Games[[#This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10</v>
      </c>
      <c r="S20" s="15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10.000002614941266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2.6149412661739815E-6</v>
      </c>
      <c r="V20">
        <f ca="1">_xlfn.RANK.EQ(Games[[#This Row],[Sort]],Games[Sort],1)</f>
        <v>10</v>
      </c>
      <c r="W20" t="str">
        <f>IF(ISNUMBER(Games[[#This Row],[QuadRank]]),_xlfn.RANK.EQ(Games[[#This Row],[QuadSort]],Games[QuadSort],1),"")</f>
        <v/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8</v>
      </c>
      <c r="S21" s="15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8.0000010771694718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1.0771694720709977E-6</v>
      </c>
      <c r="V21">
        <f ca="1">_xlfn.RANK.EQ(Games[[#This Row],[Sort]],Games[Sort],1)</f>
        <v>8</v>
      </c>
      <c r="W21" t="str">
        <f>IF(ISNUMBER(Games[[#This Row],[QuadRank]]),_xlfn.RANK.EQ(Games[[#This Row],[QuadSort]],Games[QuadSort],1),"")</f>
        <v/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20</v>
      </c>
      <c r="S22" s="15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20.000001898600399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1.898600399009373E-6</v>
      </c>
      <c r="V22">
        <f ca="1">_xlfn.RANK.EQ(Games[[#This Row],[Sort]],Games[Sort],1)</f>
        <v>20</v>
      </c>
      <c r="W22" t="str">
        <f>IF(ISNUMBER(Games[[#This Row],[QuadRank]]),_xlfn.RANK.EQ(Games[[#This Row],[QuadSort]],Games[QuadSort],1),"")</f>
        <v/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19</v>
      </c>
      <c r="S23" s="15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19.000001540429967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1.5404299654270688E-6</v>
      </c>
      <c r="V23">
        <f ca="1">_xlfn.RANK.EQ(Games[[#This Row],[Sort]],Games[Sort],1)</f>
        <v>19</v>
      </c>
      <c r="W23" t="str">
        <f>IF(ISNUMBER(Games[[#This Row],[QuadRank]]),_xlfn.RANK.EQ(Games[[#This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18</v>
      </c>
      <c r="S24" s="15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18.000000002658172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2.6581713240848828E-9</v>
      </c>
      <c r="V24">
        <f ca="1">_xlfn.RANK.EQ(Games[[#This Row],[Sort]],Games[Sort],1)</f>
        <v>18</v>
      </c>
      <c r="W24" t="str">
        <f>IF(ISNUMBER(Games[[#This Row],[QuadRank]]),_xlfn.RANK.EQ(Games[[#This Row],[QuadSort]],Games[QuadSort],1),"")</f>
        <v/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2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17</v>
      </c>
      <c r="S25" s="15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17.000000679709768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6.7970976680006888E-7</v>
      </c>
      <c r="V25">
        <f ca="1">_xlfn.RANK.EQ(Games[[#This Row],[Sort]],Games[Sort],1)</f>
        <v>17</v>
      </c>
      <c r="W25" t="str">
        <f>IF(ISNUMBER(Games[[#This Row],[QuadRank]]),_xlfn.RANK.EQ(Games[[#This Row],[QuadSort]],Games[QuadSort],1),"")</f>
        <v/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2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16</v>
      </c>
      <c r="S26" s="15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16.000002006866975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2.0068669742713238E-6</v>
      </c>
      <c r="V26">
        <f ca="1">_xlfn.RANK.EQ(Games[[#This Row],[Sort]],Games[Sort],1)</f>
        <v>16</v>
      </c>
      <c r="W26" t="str">
        <f>IF(ISNUMBER(Games[[#This Row],[QuadRank]]),_xlfn.RANK.EQ(Games[[#This Row],[QuadSort]],Games[QuadSort],1),"")</f>
        <v/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2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15</v>
      </c>
      <c r="S27" s="15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15.000002530033379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2.5300333786704771E-6</v>
      </c>
      <c r="V27">
        <f ca="1">_xlfn.RANK.EQ(Games[[#This Row],[Sort]],Games[Sort],1)</f>
        <v>15</v>
      </c>
      <c r="W27" t="str">
        <f>IF(ISNUMBER(Games[[#This Row],[QuadRank]]),_xlfn.RANK.EQ(Games[[#This Row],[QuadSort]],Games[QuadSort],1),"")</f>
        <v/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2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79</v>
      </c>
      <c r="S28" s="15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79.00000232618261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2.3261826032491987E-6</v>
      </c>
      <c r="V28">
        <f ca="1">_xlfn.RANK.EQ(Games[[#This Row],[Sort]],Games[Sort],1)</f>
        <v>79</v>
      </c>
      <c r="W28" t="str">
        <f>IF(ISNUMBER(Games[[#This Row],[QuadRank]]),_xlfn.RANK.EQ(Games[[#This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2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72</v>
      </c>
      <c r="S29" s="15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72.000001968012171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1.9680121696668945E-6</v>
      </c>
      <c r="V29">
        <f ca="1">_xlfn.RANK.EQ(Games[[#This Row],[Sort]],Games[Sort],1)</f>
        <v>72</v>
      </c>
      <c r="W29" t="str">
        <f>IF(ISNUMBER(Games[[#This Row],[QuadRank]]),_xlfn.RANK.EQ(Games[[#This Row],[QuadSort]],Games[QuadSort],1),"")</f>
        <v/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71</v>
      </c>
      <c r="S30" s="15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71.000000430240377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4.3024037556391055E-7</v>
      </c>
      <c r="V30">
        <f ca="1">_xlfn.RANK.EQ(Games[[#This Row],[Sort]],Games[Sort],1)</f>
        <v>71</v>
      </c>
      <c r="W30" t="str">
        <f>IF(ISNUMBER(Games[[#This Row],[QuadRank]]),_xlfn.RANK.EQ(Games[[#This Row],[QuadSort]],Games[QuadSort],1),"")</f>
        <v/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14</v>
      </c>
      <c r="S31" s="15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14.0000010164085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1.0164085010143176E-6</v>
      </c>
      <c r="V31">
        <f ca="1">_xlfn.RANK.EQ(Games[[#This Row],[Sort]],Games[Sort],1)</f>
        <v>14</v>
      </c>
      <c r="W31" t="str">
        <f>IF(ISNUMBER(Games[[#This Row],[QuadRank]]),_xlfn.RANK.EQ(Games[[#This Row],[QuadSort]],Games[QuadSort],1),"")</f>
        <v/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48</v>
      </c>
      <c r="S32" s="15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48.000000658238065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6.582380674320133E-7</v>
      </c>
      <c r="V32">
        <f ca="1">_xlfn.RANK.EQ(Games[[#This Row],[Sort]],Games[Sort],1)</f>
        <v>48</v>
      </c>
      <c r="W32" t="str">
        <f>IF(ISNUMBER(Games[[#This Row],[QuadRank]]),_xlfn.RANK.EQ(Games[[#This Row],[QuadSort]],Games[QuadSort],1),"")</f>
        <v/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7</v>
      </c>
      <c r="S33" s="15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7.0000019510757712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1.9510757707518665E-6</v>
      </c>
      <c r="V33">
        <f ca="1">_xlfn.RANK.EQ(Games[[#This Row],[Sort]],Games[Sort],1)</f>
        <v>7</v>
      </c>
      <c r="W33" t="str">
        <f>IF(ISNUMBER(Games[[#This Row],[QuadRank]]),_xlfn.RANK.EQ(Games[[#This Row],[QuadSort]],Games[QuadSort],1),"")</f>
        <v/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70</v>
      </c>
      <c r="S34" s="15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70.000000032780676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3.2780670292981683E-8</v>
      </c>
      <c r="V34">
        <f ca="1">_xlfn.RANK.EQ(Games[[#This Row],[Sort]],Games[Sort],1)</f>
        <v>70</v>
      </c>
      <c r="W34" t="str">
        <f>IF(ISNUMBER(Games[[#This Row],[QuadRank]]),_xlfn.RANK.EQ(Games[[#This Row],[QuadSort]],Games[QuadSort],1),"")</f>
        <v/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78</v>
      </c>
      <c r="S35" s="15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78.000002414336265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2.4143362641079376E-6</v>
      </c>
      <c r="V35">
        <f ca="1">_xlfn.RANK.EQ(Games[[#This Row],[Sort]],Games[Sort],1)</f>
        <v>78</v>
      </c>
      <c r="W35" t="str">
        <f>IF(ISNUMBER(Games[[#This Row],[QuadRank]]),_xlfn.RANK.EQ(Games[[#This Row],[QuadSort]],Games[QuadSort],1),"")</f>
        <v/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69</v>
      </c>
      <c r="S36" s="15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69.000000967447946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9.6744794003053076E-7</v>
      </c>
      <c r="V36">
        <f ca="1">_xlfn.RANK.EQ(Games[[#This Row],[Sort]],Games[Sort],1)</f>
        <v>69</v>
      </c>
      <c r="W36" t="str">
        <f>IF(ISNUMBER(Games[[#This Row],[QuadRank]]),_xlfn.RANK.EQ(Games[[#This Row],[QuadSort]],Games[QuadSort],1),"")</f>
        <v/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47</v>
      </c>
      <c r="S37" s="15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47.000000120934331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1.2093433115172059E-7</v>
      </c>
      <c r="V37">
        <f ca="1">_xlfn.RANK.EQ(Games[[#This Row],[Sort]],Games[Sort],1)</f>
        <v>47</v>
      </c>
      <c r="W37" t="str">
        <f>IF(ISNUMBER(Games[[#This Row],[QuadRank]]),_xlfn.RANK.EQ(Games[[#This Row],[QuadSort]],Games[QuadSort],1),"")</f>
        <v/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46</v>
      </c>
      <c r="S38" s="15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46.000002483748034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2.483748034765459E-6</v>
      </c>
      <c r="V38">
        <f ca="1">_xlfn.RANK.EQ(Games[[#This Row],[Sort]],Games[Sort],1)</f>
        <v>46</v>
      </c>
      <c r="W38" t="str">
        <f>IF(ISNUMBER(Games[[#This Row],[QuadRank]]),_xlfn.RANK.EQ(Games[[#This Row],[QuadSort]],Games[QuadSort],1),"")</f>
        <v/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59</v>
      </c>
      <c r="S39" s="15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59.00000094597624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9.4597624066247519E-7</v>
      </c>
      <c r="V39">
        <f ca="1">_xlfn.RANK.EQ(Games[[#This Row],[Sort]],Games[Sort],1)</f>
        <v>59</v>
      </c>
      <c r="W39" t="str">
        <f>IF(ISNUMBER(Games[[#This Row],[QuadRank]]),_xlfn.RANK.EQ(Games[[#This Row],[QuadSort]],Games[QuadSort],1),"")</f>
        <v/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56</v>
      </c>
      <c r="S40" s="15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56.000001676523695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1.6765236975752735E-6</v>
      </c>
      <c r="V40">
        <f ca="1">_xlfn.RANK.EQ(Games[[#This Row],[Sort]],Games[Sort],1)</f>
        <v>56</v>
      </c>
      <c r="W40" t="str">
        <f>IF(ISNUMBER(Games[[#This Row],[QuadRank]]),_xlfn.RANK.EQ(Games[[#This Row],[QuadSort]],Games[QuadSort],1),"")</f>
        <v/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63</v>
      </c>
      <c r="S41" s="15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63.000001318353263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1.3183532639929692E-6</v>
      </c>
      <c r="V41">
        <f ca="1">_xlfn.RANK.EQ(Games[[#This Row],[Sort]],Games[Sort],1)</f>
        <v>63</v>
      </c>
      <c r="W41" t="str">
        <f>IF(ISNUMBER(Games[[#This Row],[QuadRank]]),_xlfn.RANK.EQ(Games[[#This Row],[QuadSort]],Games[QuadSort],1),"")</f>
        <v/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62</v>
      </c>
      <c r="S42" s="15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62.000002611190965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2.6111909673128224E-6</v>
      </c>
      <c r="V42">
        <f ca="1">_xlfn.RANK.EQ(Games[[#This Row],[Sort]],Games[Sort],1)</f>
        <v>62</v>
      </c>
      <c r="W42" t="str">
        <f>IF(ISNUMBER(Games[[#This Row],[QuadRank]]),_xlfn.RANK.EQ(Games[[#This Row],[QuadSort]],Games[QuadSort],1),"")</f>
        <v/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29</v>
      </c>
      <c r="S43" s="15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29.000000288204593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2.8820459233367278E-7</v>
      </c>
      <c r="V43">
        <f ca="1">_xlfn.RANK.EQ(Games[[#This Row],[Sort]],Games[Sort],1)</f>
        <v>29</v>
      </c>
      <c r="W43" t="str">
        <f>IF(ISNUMBER(Games[[#This Row],[QuadRank]]),_xlfn.RANK.EQ(Games[[#This Row],[QuadSort]],Games[QuadSort],1),"")</f>
        <v/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28</v>
      </c>
      <c r="S44" s="15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28.000002669760185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2.6697601861486289E-6</v>
      </c>
      <c r="V44">
        <f ca="1">_xlfn.RANK.EQ(Games[[#This Row],[Sort]],Games[Sort],1)</f>
        <v>28</v>
      </c>
      <c r="W44" t="str">
        <f>IF(ISNUMBER(Games[[#This Row],[QuadRank]]),_xlfn.RANK.EQ(Games[[#This Row],[QuadSort]],Games[QuadSort],1),"")</f>
        <v/>
      </c>
      <c r="X44" s="5" t="s">
        <v>56</v>
      </c>
      <c r="Y44" s="5"/>
    </row>
    <row r="45" spans="2:25" x14ac:dyDescent="0.25">
      <c r="B45" s="12" t="b">
        <v>0</v>
      </c>
      <c r="C45" t="s">
        <v>28</v>
      </c>
      <c r="D45" s="13"/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27</v>
      </c>
      <c r="S45" s="15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27.000001953419318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1.9534193189840204E-6</v>
      </c>
      <c r="V45">
        <f ca="1">_xlfn.RANK.EQ(Games[[#This Row],[Sort]],Games[Sort],1)</f>
        <v>27</v>
      </c>
      <c r="W45" t="str">
        <f>IF(ISNUMBER(Games[[#This Row],[QuadRank]]),_xlfn.RANK.EQ(Games[[#This Row],[QuadSort]],Games[QuadSort],1),"")</f>
        <v/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55</v>
      </c>
      <c r="S46" s="15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55.000001504365414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1.5043654153761389E-6</v>
      </c>
      <c r="V46">
        <f ca="1">_xlfn.RANK.EQ(Games[[#This Row],[Sort]],Games[Sort],1)</f>
        <v>55</v>
      </c>
      <c r="W46" t="str">
        <f>IF(ISNUMBER(Games[[#This Row],[QuadRank]]),_xlfn.RANK.EQ(Games[[#This Row],[QuadSort]],Games[QuadSort],1),"")</f>
        <v/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61</v>
      </c>
      <c r="S47" s="15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61.000000057477088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5.7477091298732041E-8</v>
      </c>
      <c r="V47">
        <f ca="1">_xlfn.RANK.EQ(Games[[#This Row],[Sort]],Games[Sort],1)</f>
        <v>61</v>
      </c>
      <c r="W47" t="str">
        <f>IF(ISNUMBER(Games[[#This Row],[QuadRank]]),_xlfn.RANK.EQ(Games[[#This Row],[QuadSort]],Games[QuadSort],1),"")</f>
        <v/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60</v>
      </c>
      <c r="S48" s="15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60.000002043330703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2.0433307012976849E-6</v>
      </c>
      <c r="V48">
        <f ca="1">_xlfn.RANK.EQ(Games[[#This Row],[Sort]],Games[Sort],1)</f>
        <v>60</v>
      </c>
      <c r="W48" t="str">
        <f>IF(ISNUMBER(Games[[#This Row],[QuadRank]]),_xlfn.RANK.EQ(Games[[#This Row],[QuadSort]],Games[QuadSort],1),"")</f>
        <v/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13</v>
      </c>
      <c r="S49" s="15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13.000001931947619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1.9319476196159646E-6</v>
      </c>
      <c r="V49">
        <f ca="1">_xlfn.RANK.EQ(Games[[#This Row],[Sort]],Games[Sort],1)</f>
        <v>13</v>
      </c>
      <c r="W49" t="str">
        <f>IF(ISNUMBER(Games[[#This Row],[QuadRank]]),_xlfn.RANK.EQ(Games[[#This Row],[QuadSort]],Games[QuadSort],1),"")</f>
        <v/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45</v>
      </c>
      <c r="S50" s="15"/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45.00000080874004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8.0874003725100874E-7</v>
      </c>
      <c r="V50">
        <f ca="1">_xlfn.RANK.EQ(Games[[#This Row],[Sort]],Games[Sort],1)</f>
        <v>45</v>
      </c>
      <c r="W50" t="str">
        <f>IF(ISNUMBER(Games[[#This Row],[QuadRank]]),_xlfn.RANK.EQ(Games[[#This Row],[QuadSort]],Games[QuadSort],1),"")</f>
        <v/>
      </c>
      <c r="X50" s="5"/>
      <c r="Y50" s="5"/>
    </row>
    <row r="51" spans="2:25" x14ac:dyDescent="0.25">
      <c r="B51" s="12" t="b">
        <v>1</v>
      </c>
      <c r="C51" t="s">
        <v>30</v>
      </c>
      <c r="D51" s="13">
        <v>1</v>
      </c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6</v>
      </c>
      <c r="S51" s="15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6.0000001268888621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1.2688886195625344E-7</v>
      </c>
      <c r="V51">
        <f ca="1">_xlfn.RANK.EQ(Games[[#This Row],[Sort]],Games[Sort],1)</f>
        <v>6</v>
      </c>
      <c r="W51" t="str">
        <f>IF(ISNUMBER(Games[[#This Row],[QuadRank]]),_xlfn.RANK.EQ(Games[[#This Row],[QuadSort]],Games[QuadSort],1),"")</f>
        <v/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44</v>
      </c>
      <c r="S52" s="15"/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44.000000948319787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9.4831978889462888E-7</v>
      </c>
      <c r="V52">
        <f ca="1">_xlfn.RANK.EQ(Games[[#This Row],[Sort]],Games[Sort],1)</f>
        <v>44</v>
      </c>
      <c r="W52" t="str">
        <f>IF(ISNUMBER(Games[[#This Row],[QuadRank]]),_xlfn.RANK.EQ(Games[[#This Row],[QuadSort]],Games[QuadSort],1),"")</f>
        <v/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43</v>
      </c>
      <c r="S53" s="15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43.000000590149355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5.9014935531232452E-7</v>
      </c>
      <c r="V53">
        <f ca="1">_xlfn.RANK.EQ(Games[[#This Row],[Sort]],Games[Sort],1)</f>
        <v>43</v>
      </c>
      <c r="W53" t="str">
        <f>IF(ISNUMBER(Games[[#This Row],[QuadRank]]),_xlfn.RANK.EQ(Games[[#This Row],[QuadSort]],Games[QuadSort],1),"")</f>
        <v/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42</v>
      </c>
      <c r="S54" s="15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42.000001882987057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1.8829870586321778E-6</v>
      </c>
      <c r="V54">
        <f ca="1">_xlfn.RANK.EQ(Games[[#This Row],[Sort]],Games[Sort],1)</f>
        <v>42</v>
      </c>
      <c r="W54" t="str">
        <f>IF(ISNUMBER(Games[[#This Row],[QuadRank]]),_xlfn.RANK.EQ(Games[[#This Row],[QuadSort]],Games[QuadSort],1),"")</f>
        <v/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77</v>
      </c>
      <c r="S55" s="15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77.000002378271716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2.3782717140570077E-6</v>
      </c>
      <c r="V55">
        <f ca="1">_xlfn.RANK.EQ(Games[[#This Row],[Sort]],Games[Sort],1)</f>
        <v>77</v>
      </c>
      <c r="W55" t="str">
        <f>IF(ISNUMBER(Games[[#This Row],[QuadRank]]),_xlfn.RANK.EQ(Games[[#This Row],[QuadSort]],Games[QuadSort],1),"")</f>
        <v/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68</v>
      </c>
      <c r="S56" s="15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68.000000931383397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9.3138338997960089E-7</v>
      </c>
      <c r="V56">
        <f ca="1">_xlfn.RANK.EQ(Games[[#This Row],[Sort]],Games[Sort],1)</f>
        <v>68</v>
      </c>
      <c r="W56" t="str">
        <f>IF(ISNUMBER(Games[[#This Row],[QuadRank]]),_xlfn.RANK.EQ(Games[[#This Row],[QuadSort]],Games[QuadSort],1),"")</f>
        <v/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67</v>
      </c>
      <c r="S57" s="15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67.000000573212958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5.7321295639729663E-7</v>
      </c>
      <c r="V57">
        <f ca="1">_xlfn.RANK.EQ(Games[[#This Row],[Sort]],Games[Sort],1)</f>
        <v>67</v>
      </c>
      <c r="W57" t="str">
        <f>IF(ISNUMBER(Games[[#This Row],[QuadRank]]),_xlfn.RANK.EQ(Games[[#This Row],[QuadSort]],Games[QuadSort],1),"")</f>
        <v/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41</v>
      </c>
      <c r="S58" s="15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41.000001036473449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1.0364734497533677E-6</v>
      </c>
      <c r="V58">
        <f ca="1">_xlfn.RANK.EQ(Games[[#This Row],[Sort]],Games[Sort],1)</f>
        <v>41</v>
      </c>
      <c r="W58" t="str">
        <f>IF(ISNUMBER(Games[[#This Row],[QuadRank]]),_xlfn.RANK.EQ(Games[[#This Row],[QuadSort]],Games[QuadSort],1),"")</f>
        <v/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40</v>
      </c>
      <c r="S59" s="15"/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40.000000678303017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6.7830301617106345E-7</v>
      </c>
      <c r="V59">
        <f ca="1">_xlfn.RANK.EQ(Games[[#This Row],[Sort]],Games[Sort],1)</f>
        <v>40</v>
      </c>
      <c r="W59" t="str">
        <f>IF(ISNUMBER(Games[[#This Row],[QuadRank]]),_xlfn.RANK.EQ(Games[[#This Row],[QuadSort]],Games[QuadSort],1),"")</f>
        <v/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58</v>
      </c>
      <c r="S60" s="15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58.000001861515358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1.8615153592641222E-6</v>
      </c>
      <c r="V60">
        <f ca="1">_xlfn.RANK.EQ(Games[[#This Row],[Sort]],Games[Sort],1)</f>
        <v>58</v>
      </c>
      <c r="W60" t="str">
        <f>IF(ISNUMBER(Games[[#This Row],[QuadRank]]),_xlfn.RANK.EQ(Games[[#This Row],[QuadSort]],Games[QuadSort],1),"")</f>
        <v/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66</v>
      </c>
      <c r="S61" s="15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66.000002592062813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2.5920628161769205E-6</v>
      </c>
      <c r="V61">
        <f ca="1">_xlfn.RANK.EQ(Games[[#This Row],[Sort]],Games[Sort],1)</f>
        <v>66</v>
      </c>
      <c r="W61" t="str">
        <f>IF(ISNUMBER(Games[[#This Row],[QuadRank]]),_xlfn.RANK.EQ(Games[[#This Row],[QuadSort]],Games[QuadSort],1),"")</f>
        <v/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9</v>
      </c>
      <c r="S62" s="15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9.000000374186703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3.7418670301670079E-7</v>
      </c>
      <c r="V62">
        <f ca="1">_xlfn.RANK.EQ(Games[[#This Row],[Sort]],Games[Sort],1)</f>
        <v>9</v>
      </c>
      <c r="W62" t="str">
        <f>IF(ISNUMBER(Games[[#This Row],[QuadRank]]),_xlfn.RANK.EQ(Games[[#This Row],[QuadSort]],Games[QuadSort],1),"")</f>
        <v/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76</v>
      </c>
      <c r="S63" s="15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76.000000787004055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7.8700405851720948E-7</v>
      </c>
      <c r="V63">
        <f ca="1">_xlfn.RANK.EQ(Games[[#This Row],[Sort]],Games[Sort],1)</f>
        <v>76</v>
      </c>
      <c r="W63" t="str">
        <f>IF(ISNUMBER(Games[[#This Row],[QuadRank]]),_xlfn.RANK.EQ(Games[[#This Row],[QuadSort]],Games[QuadSort],1),"")</f>
        <v/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12</v>
      </c>
      <c r="S64" s="15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12.000000298660883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2.9866088322070362E-7</v>
      </c>
      <c r="V64">
        <f ca="1">_xlfn.RANK.EQ(Games[[#This Row],[Sort]],Games[Sort],1)</f>
        <v>12</v>
      </c>
      <c r="W64" t="str">
        <f>IF(ISNUMBER(Games[[#This Row],[QuadRank]]),_xlfn.RANK.EQ(Games[[#This Row],[QuadSort]],Games[QuadSort],1),"")</f>
        <v/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39</v>
      </c>
      <c r="S65" s="15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39.000000031373922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3.1373919663976314E-8</v>
      </c>
      <c r="V65">
        <f ca="1">_xlfn.RANK.EQ(Games[[#This Row],[Sort]],Games[Sort],1)</f>
        <v>39</v>
      </c>
      <c r="W65" t="str">
        <f>IF(ISNUMBER(Games[[#This Row],[QuadRank]]),_xlfn.RANK.EQ(Games[[#This Row],[QuadSort]],Games[QuadSort],1),"")</f>
        <v/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5</v>
      </c>
      <c r="S66" s="15"/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5.0000012333281534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1.2333281529582526E-6</v>
      </c>
      <c r="V66">
        <f ca="1">_xlfn.RANK.EQ(Games[[#This Row],[Sort]],Games[Sort],1)</f>
        <v>5</v>
      </c>
      <c r="W66" t="str">
        <f>IF(ISNUMBER(Games[[#This Row],[QuadRank]]),_xlfn.RANK.EQ(Games[[#This Row],[QuadSort]],Games[QuadSort],1),"")</f>
        <v/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38</v>
      </c>
      <c r="S67" s="15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38.000002054759079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2.0547590798966281E-6</v>
      </c>
      <c r="V67">
        <f ca="1">_xlfn.RANK.EQ(Games[[#This Row],[Sort]],Games[Sort],1)</f>
        <v>38</v>
      </c>
      <c r="W67" t="str">
        <f>IF(ISNUMBER(Games[[#This Row],[QuadRank]]),_xlfn.RANK.EQ(Games[[#This Row],[QuadSort]],Games[QuadSort],1),"")</f>
        <v/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37</v>
      </c>
      <c r="S68" s="15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37.000001696588647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1.6965886463143239E-6</v>
      </c>
      <c r="V68">
        <f ca="1">_xlfn.RANK.EQ(Games[[#This Row],[Sort]],Games[Sort],1)</f>
        <v>37</v>
      </c>
      <c r="W68" t="str">
        <f>IF(ISNUMBER(Games[[#This Row],[QuadRank]]),_xlfn.RANK.EQ(Games[[#This Row],[QuadSort]],Games[QuadSort],1),"")</f>
        <v/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36</v>
      </c>
      <c r="S69" s="15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36.00000014007496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1.4007496201012232E-7</v>
      </c>
      <c r="V69">
        <f ca="1">_xlfn.RANK.EQ(Games[[#This Row],[Sort]],Games[Sort],1)</f>
        <v>36</v>
      </c>
      <c r="W69" t="str">
        <f>IF(ISNUMBER(Games[[#This Row],[QuadRank]]),_xlfn.RANK.EQ(Games[[#This Row],[QuadSort]],Games[QuadSort],1),"")</f>
        <v/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26</v>
      </c>
      <c r="S70" s="15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26.00000119403888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1.194038881269628E-6</v>
      </c>
      <c r="V70">
        <f ca="1">_xlfn.RANK.EQ(Games[[#This Row],[Sort]],Games[Sort],1)</f>
        <v>26</v>
      </c>
      <c r="W70" t="str">
        <f>IF(ISNUMBER(Games[[#This Row],[QuadRank]]),_xlfn.RANK.EQ(Games[[#This Row],[QuadSort]],Games[QuadSort],1),"")</f>
        <v/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11</v>
      </c>
      <c r="S71" s="15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11.000000744984977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7.4498497766174681E-7</v>
      </c>
      <c r="V71">
        <f ca="1">_xlfn.RANK.EQ(Games[[#This Row],[Sort]],Games[Sort],1)</f>
        <v>11</v>
      </c>
      <c r="W71" t="str">
        <f>IF(ISNUMBER(Games[[#This Row],[QuadRank]]),_xlfn.RANK.EQ(Games[[#This Row],[QuadSort]],Games[QuadSort],1),"")</f>
        <v/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2</v>
      </c>
      <c r="S72" s="15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2.0000004589561238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4.5895612390380199E-7</v>
      </c>
      <c r="V72">
        <f ca="1">_xlfn.RANK.EQ(Games[[#This Row],[Sort]],Games[Sort],1)</f>
        <v>2</v>
      </c>
      <c r="W72" t="str">
        <f>IF(ISNUMBER(Games[[#This Row],[QuadRank]]),_xlfn.RANK.EQ(Games[[#This Row],[QuadSort]],Games[QuadSort],1),"")</f>
        <v/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25</v>
      </c>
      <c r="S73" s="15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25.000001660910357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1.6609103571980783E-6</v>
      </c>
      <c r="V73">
        <f ca="1">_xlfn.RANK.EQ(Games[[#This Row],[Sort]],Games[Sort],1)</f>
        <v>25</v>
      </c>
      <c r="W73" t="str">
        <f>IF(ISNUMBER(Games[[#This Row],[QuadRank]]),_xlfn.RANK.EQ(Games[[#This Row],[QuadSort]],Games[QuadSort],1),"")</f>
        <v/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24</v>
      </c>
      <c r="S74" s="15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24.000002124170852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2.1241708505541496E-6</v>
      </c>
      <c r="V74">
        <f ca="1">_xlfn.RANK.EQ(Games[[#This Row],[Sort]],Games[Sort],1)</f>
        <v>24</v>
      </c>
      <c r="W74" t="str">
        <f>IF(ISNUMBER(Games[[#This Row],[QuadRank]]),_xlfn.RANK.EQ(Games[[#This Row],[QuadSort]],Games[QuadSort],1),"")</f>
        <v/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23</v>
      </c>
      <c r="S75" s="15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23.000001766000416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1.7660004169718451E-6</v>
      </c>
      <c r="V75">
        <f ca="1">_xlfn.RANK.EQ(Games[[#This Row],[Sort]],Games[Sort],1)</f>
        <v>23</v>
      </c>
      <c r="W75" t="str">
        <f>IF(ISNUMBER(Games[[#This Row],[QuadRank]]),_xlfn.RANK.EQ(Games[[#This Row],[QuadSort]],Games[QuadSort],1),"")</f>
        <v/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57</v>
      </c>
      <c r="S76" s="15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57.000000228228622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2.2822862286886123E-7</v>
      </c>
      <c r="V76">
        <f ca="1">_xlfn.RANK.EQ(Games[[#This Row],[Sort]],Games[Sort],1)</f>
        <v>57</v>
      </c>
      <c r="W76" t="str">
        <f>IF(ISNUMBER(Games[[#This Row],[QuadRank]]),_xlfn.RANK.EQ(Games[[#This Row],[QuadSort]],Games[QuadSort],1),"")</f>
        <v/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22</v>
      </c>
      <c r="S77" s="15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22.000002570494946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2.5704949449951926E-6</v>
      </c>
      <c r="V77">
        <f ca="1">_xlfn.RANK.EQ(Games[[#This Row],[Sort]],Games[Sort],1)</f>
        <v>22</v>
      </c>
      <c r="W77" t="str">
        <f>IF(ISNUMBER(Games[[#This Row],[QuadRank]]),_xlfn.RANK.EQ(Games[[#This Row],[QuadSort]],Games[QuadSort],1),"")</f>
        <v/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21</v>
      </c>
      <c r="S78" s="15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21.000002121441042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2.1214410413873116E-6</v>
      </c>
      <c r="V78">
        <f ca="1">_xlfn.RANK.EQ(Games[[#This Row],[Sort]],Games[Sort],1)</f>
        <v>21</v>
      </c>
      <c r="W78" t="str">
        <f>IF(ISNUMBER(Games[[#This Row],[QuadRank]]),_xlfn.RANK.EQ(Games[[#This Row],[QuadSort]],Games[QuadSort],1),"")</f>
        <v/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65</v>
      </c>
      <c r="S79" s="15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65.000001854154078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1.8541540778305841E-6</v>
      </c>
      <c r="V79">
        <f ca="1">_xlfn.RANK.EQ(Games[[#This Row],[Sort]],Games[Sort],1)</f>
        <v>65</v>
      </c>
      <c r="W79" t="str">
        <f>IF(ISNUMBER(Games[[#This Row],[QuadRank]]),_xlfn.RANK.EQ(Games[[#This Row],[QuadSort]],Games[QuadSort],1),"")</f>
        <v/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75</v>
      </c>
      <c r="S80" s="15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75.000001386358278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1.3863582840214853E-6</v>
      </c>
      <c r="V80">
        <f ca="1">_xlfn.RANK.EQ(Games[[#This Row],[Sort]],Games[Sort],1)</f>
        <v>75</v>
      </c>
      <c r="W80" t="str">
        <f>IF(ISNUMBER(Games[[#This Row],[QuadRank]]),_xlfn.RANK.EQ(Games[[#This Row],[QuadSort]],Games[QuadSort],1),"")</f>
        <v/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4</v>
      </c>
      <c r="S81" s="15"/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4.0000011190713201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1.119071320464758E-6</v>
      </c>
      <c r="V81">
        <f ca="1">_xlfn.RANK.EQ(Games[[#This Row],[Sort]],Games[Sort],1)</f>
        <v>4</v>
      </c>
      <c r="W81" t="str">
        <f>IF(ISNUMBER(Games[[#This Row],[QuadRank]]),_xlfn.RANK.EQ(Games[[#This Row],[QuadSort]],Games[QuadSort],1),"")</f>
        <v/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64</v>
      </c>
      <c r="S82" s="15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64.000002626952522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2.6269525264019836E-6</v>
      </c>
      <c r="V82">
        <f ca="1">_xlfn.RANK.EQ(Games[[#This Row],[Sort]],Games[Sort],1)</f>
        <v>64</v>
      </c>
      <c r="W82" t="str">
        <f>IF(ISNUMBER(Games[[#This Row],[QuadRank]]),_xlfn.RANK.EQ(Games[[#This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2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3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5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7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8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2026-09-25T16:50:58Z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