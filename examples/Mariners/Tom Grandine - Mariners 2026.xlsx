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homa\Github\SeatSEAT\examples\Mariners\"/>
    </mc:Choice>
  </mc:AlternateContent>
  <xr:revisionPtr revIDLastSave="0" documentId="13_ncr:1_{DD974BC7-2476-4E16-9824-79AB7D984742}" xr6:coauthVersionLast="47" xr6:coauthVersionMax="47" xr10:uidLastSave="{00000000-0000-0000-0000-000000000000}"/>
  <bookViews>
    <workbookView xWindow="4820" yWindow="2190" windowWidth="19540" windowHeight="1537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<sst xmlns="http://schemas.openxmlformats.org/spreadsheetml/2006/main" count="273" uniqueCount="99">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</sst>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14" activePane="bottomLeft" state="frozen"/>
      <selection pane="bottomLeft" activeCell="D40" sqref="D40"/>
    </sheetView>
  </sheetViews>
  <sheetFormatPr defaultRowHeight="12.5" x14ac:dyDescent="0.25"/>
  <cols>
    <col min="1" max="1" width="4.26953125" customWidth="1"/>
    <col min="2" max="2" width="4" customWidth="1"/>
    <col min="3" max="3" width="7.453125" customWidth="1"/>
    <col min="4" max="4" width="2.81640625" customWidth="1"/>
    <col min="5" max="5" width="6.453125" customWidth="1"/>
    <col min="6" max="6" width="3.1796875" customWidth="1"/>
    <col min="7" max="8" width="4.26953125" customWidth="1"/>
    <col min="9" max="9" width="18.453125" customWidth="1"/>
    <col min="10" max="10" width="7.81640625" style="4" bestFit="1" customWidth="1"/>
    <col min="11" max="11" width="8.7265625" style="4" bestFit="1" customWidth="1"/>
    <col min="12" max="12" width="9.1796875" style="4" bestFit="1" customWidth="1"/>
    <col min="13" max="13" width="14.7265625" style="2" bestFit="1" customWidth="1"/>
    <col min="14" max="14" width="6.1796875" customWidth="1"/>
    <col min="15" max="16" width="7.26953125" hidden="1" customWidth="1"/>
    <col min="17" max="17" width="10" bestFit="1" customWidth="1"/>
    <col min="18" max="18" width="7.1796875" customWidth="1"/>
    <col min="19" max="19" width="15.81640625" customWidth="1"/>
    <col min="20" max="20" width="15.81640625" hidden="1" customWidth="1"/>
    <col min="21" max="21" width="9.1796875" hidden="1" customWidth="1"/>
    <col min="22" max="22" width="10.1796875" bestFit="1" customWidth="1"/>
    <col min="23" max="23" width="7.26953125" customWidth="1"/>
    <col min="24" max="24" width="88.54296875" bestFit="1" customWidth="1"/>
    <col min="25" max="25" width="22.7265625" customWidth="1"/>
    <col min="26" max="26" width="3" customWidth="1"/>
    <col min="27" max="27" width="14" bestFit="1" customWidth="1"/>
    <col min="28" max="28" width="7.1796875" customWidth="1"/>
    <col min="29" max="29" width="8.1796875" customWidth="1"/>
    <col min="30" max="30" width="10.26953125" bestFit="1" customWidth="1"/>
    <col min="32" max="32" width="11" bestFit="1" customWidth="1"/>
  </cols>
  <sheetData>
    <row r="1" spans="1:31" s="1" customFormat="1" ht="31" x14ac:dyDescent="0.3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5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1.8997807438447051E-8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1.8997807438447051E-8</v>
      </c>
      <c r="V2">
        <f ca="1">_xlfn.RANK.EQ(Games[[#This Row],[Sort]],Games[Sort],1)</f>
        <v>3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5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2.0949343225778372E-6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2.0949343225778372E-6</v>
      </c>
      <c r="V3">
        <f ca="1">_xlfn.RANK.EQ(Games[[#This Row],[Sort]],Games[Sort],1)</f>
        <v>62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5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1.937103510056048E-6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1.937103510056048E-6</v>
      </c>
      <c r="V4">
        <f ca="1">_xlfn.RANK.EQ(Games[[#This Row],[Sort]],Games[Sort],1)</f>
        <v>60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5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1.7352001467234875E-6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1.7352001467234875E-6</v>
      </c>
      <c r="V5">
        <f ca="1">_xlfn.RANK.EQ(Games[[#This Row],[Sort]],Games[Sort],1)</f>
        <v>53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ht="13" x14ac:dyDescent="0.3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1.0444582829073275E-6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1.0444582829073275E-6</v>
      </c>
      <c r="V6">
        <f ca="1">_xlfn.RANK.EQ(Games[[#This Row],[Sort]],Games[Sort],1)</f>
        <v>30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5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1.6662867203967212E-6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1.6662867203967212E-6</v>
      </c>
      <c r="V7">
        <f ca="1">_xlfn.RANK.EQ(Games[[#This Row],[Sort]],Games[Sort],1)</f>
        <v>49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5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2.6616102256748364E-6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2.6616102256748364E-6</v>
      </c>
      <c r="V8">
        <f ca="1">_xlfn.RANK.EQ(Games[[#This Row],[Sort]],Games[Sort],1)</f>
        <v>79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5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2.6881693836862911E-7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2.6881693836862911E-7</v>
      </c>
      <c r="V9">
        <f ca="1">_xlfn.RANK.EQ(Games[[#This Row],[Sort]],Games[Sort],1)</f>
        <v>11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5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8.9064537585802273E-7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8.9064537585802273E-7</v>
      </c>
      <c r="V10">
        <f ca="1">_xlfn.RANK.EQ(Games[[#This Row],[Sort]],Games[Sort],1)</f>
        <v>26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5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1.8859688811361382E-6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1.8859688811361382E-6</v>
      </c>
      <c r="V11">
        <f ca="1">_xlfn.RANK.EQ(Games[[#This Row],[Sort]],Games[Sort],1)</f>
        <v>57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5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2.5077973186255319E-6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2.5077973186255319E-6</v>
      </c>
      <c r="V12">
        <f ca="1">_xlfn.RANK.EQ(Games[[#This Row],[Sort]],Games[Sort],1)</f>
        <v>73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5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1.8818899733971243E-6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1.8818899733971243E-6</v>
      </c>
      <c r="V13">
        <f ca="1">_xlfn.RANK.EQ(Games[[#This Row],[Sort]],Games[Sort],1)</f>
        <v>56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5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3.7563002783141726E-8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3.7563002783141726E-8</v>
      </c>
      <c r="V14">
        <f ca="1">_xlfn.RANK.EQ(Games[[#This Row],[Sort]],Games[Sort],1)</f>
        <v>5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5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1.3627398140371253E-6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1.3627398140371253E-6</v>
      </c>
      <c r="V15">
        <f ca="1">_xlfn.RANK.EQ(Games[[#This Row],[Sort]],Games[Sort],1)</f>
        <v>35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5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1.6110731837377972E-6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1.6110731837377972E-6</v>
      </c>
      <c r="V16">
        <f ca="1">_xlfn.RANK.EQ(Games[[#This Row],[Sort]],Games[Sort],1)</f>
        <v>47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5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2.2329016212271909E-6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2.2329016212271909E-6</v>
      </c>
      <c r="V17">
        <f ca="1">_xlfn.RANK.EQ(Games[[#This Row],[Sort]],Games[Sort],1)</f>
        <v>67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2" ht="13" x14ac:dyDescent="0.3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4.8849909910804601E-7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4.8849909910804601E-7</v>
      </c>
      <c r="V18">
        <f ca="1">_xlfn.RANK.EQ(Games[[#This Row],[Sort]],Games[Sort],1)</f>
        <v>16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102</v>
      </c>
    </row>
    <row r="19" spans="2:32" x14ac:dyDescent="0.25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1.4918261730711754E-6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1.4918261730711754E-6</v>
      </c>
      <c r="V19">
        <f ca="1">_xlfn.RANK.EQ(Games[[#This Row],[Sort]],Games[Sort],1)</f>
        <v>40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77</v>
      </c>
    </row>
    <row r="20" spans="2:32" x14ac:dyDescent="0.25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1.4572602766884924E-6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1.4572602766884924E-6</v>
      </c>
      <c r="V20">
        <f ca="1">_xlfn.RANK.EQ(Games[[#This Row],[Sort]],Games[Sort],1)</f>
        <v>38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5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2.4525837819666077E-6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2.4525837819666077E-6</v>
      </c>
      <c r="V21">
        <f ca="1">_xlfn.RANK.EQ(Games[[#This Row],[Sort]],Games[Sort],1)</f>
        <v>70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5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2.7009171516672798E-6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2.7009171516672798E-6</v>
      </c>
      <c r="V22">
        <f ca="1">_xlfn.RANK.EQ(Games[[#This Row],[Sort]],Games[Sort],1)</f>
        <v>80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5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5.8301956175941309E-7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5.8301956175941309E-7</v>
      </c>
      <c r="V23">
        <f ca="1">_xlfn.RANK.EQ(Games[[#This Row],[Sort]],Games[Sort],1)</f>
        <v>18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5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1.5783430670375285E-6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1.5783430670375285E-6</v>
      </c>
      <c r="V24">
        <f ca="1">_xlfn.RANK.EQ(Games[[#This Row],[Sort]],Games[Sort],1)</f>
        <v>45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3">
        <f>Types[[#This Row],[Tickets]]*Types[[#This Row],[Price]]</f>
        <v>7920</v>
      </c>
    </row>
    <row r="25" spans="2:32" x14ac:dyDescent="0.25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1.9252758071285813E-6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1.9252758071285813E-6</v>
      </c>
      <c r="V25">
        <f ca="1">_xlfn.RANK.EQ(Games[[#This Row],[Sort]],Games[Sort],1)</f>
        <v>58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3">
        <f>Types[[#This Row],[Tickets]]*Types[[#This Row],[Price]]</f>
        <v>8004</v>
      </c>
    </row>
    <row r="26" spans="2:32" x14ac:dyDescent="0.25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2.2172509386421065E-6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2.2172509386421065E-6</v>
      </c>
      <c r="V26">
        <f ca="1">_xlfn.RANK.EQ(Games[[#This Row],[Sort]],Games[Sort],1)</f>
        <v>66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3">
        <f>Types[[#This Row],[Tickets]]*Types[[#This Row],[Price]]</f>
        <v>4332</v>
      </c>
    </row>
    <row r="27" spans="2:32" x14ac:dyDescent="0.25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1.7417769560156619E-6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1.7417769560156619E-6</v>
      </c>
      <c r="V27">
        <f ca="1">_xlfn.RANK.EQ(Games[[#This Row],[Sort]],Games[Sort],1)</f>
        <v>54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3">
        <f>Types[[#This Row],[Tickets]]*Types[[#This Row],[Price]]</f>
        <v>1980</v>
      </c>
    </row>
    <row r="28" spans="2:32" x14ac:dyDescent="0.25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1.6544590174692542E-6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1.6544590174692542E-6</v>
      </c>
      <c r="V28">
        <f ca="1">_xlfn.RANK.EQ(Games[[#This Row],[Sort]],Games[Sort],1)</f>
        <v>48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3">
        <f>SUBTOTAL(109,Types[Cost])</f>
        <v>22236</v>
      </c>
    </row>
    <row r="29" spans="2:32" x14ac:dyDescent="0.25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2.2762874549586479E-6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2.2762874549586479E-6</v>
      </c>
      <c r="V29">
        <f ca="1">_xlfn.RANK.EQ(Games[[#This Row],[Sort]],Games[Sort],1)</f>
        <v>68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5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5.3188493283950306E-7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5.3188493283950306E-7</v>
      </c>
      <c r="V30">
        <f ca="1">_xlfn.RANK.EQ(Games[[#This Row],[Sort]],Games[Sort],1)</f>
        <v>17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5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2.0436884529174191E-7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2.0436884529174191E-7</v>
      </c>
      <c r="V31">
        <f ca="1">_xlfn.RANK.EQ(Games[[#This Row],[Sort]],Games[Sort],1)</f>
        <v>9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5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8.261972827811356E-7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8.261972827811356E-7</v>
      </c>
      <c r="V32">
        <f ca="1">_xlfn.RANK.EQ(Games[[#This Row],[Sort]],Games[Sort],1)</f>
        <v>23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5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2.4959696156980647E-6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2.4959696156980647E-6</v>
      </c>
      <c r="V33">
        <f ca="1">_xlfn.RANK.EQ(Games[[#This Row],[Sort]],Games[Sort],1)</f>
        <v>72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5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4.5769580014764447E-9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4.5769580014764447E-9</v>
      </c>
      <c r="V34">
        <f ca="1">_xlfn.RANK.EQ(Games[[#This Row],[Sort]],Games[Sort],1)</f>
        <v>1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5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6.2640539549087013E-7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6.2640539549087013E-7</v>
      </c>
      <c r="V35">
        <f ca="1">_xlfn.RANK.EQ(Games[[#This Row],[Sort]],Games[Sort],1)</f>
        <v>19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5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2.2961777284077992E-6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2.2961777284077992E-6</v>
      </c>
      <c r="V36">
        <f ca="1">_xlfn.RANK.EQ(Games[[#This Row],[Sort]],Games[Sort],1)</f>
        <v>69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5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1.7162493634203526E-6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1.7162493634203526E-6</v>
      </c>
      <c r="V37">
        <f ca="1">_xlfn.RANK.EQ(Games[[#This Row],[Sort]],Games[Sort],1)</f>
        <v>52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5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2.0177569878223824E-7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2.0177569878223824E-7</v>
      </c>
      <c r="V38">
        <f ca="1">_xlfn.RANK.EQ(Games[[#This Row],[Sort]],Games[Sort],1)</f>
        <v>7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5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1.1970992040603537E-6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1.1970992040603537E-6</v>
      </c>
      <c r="V39">
        <f ca="1">_xlfn.RANK.EQ(Games[[#This Row],[Sort]],Games[Sort],1)</f>
        <v>32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5">
      <c r="B40" s="13" t="b">
        <v>1</v>
      </c>
      <c r="C40" t="s">
        <v>30</v>
      </c>
      <c r="D40" s="14">
        <v>1</v>
      </c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7.7098374612221163E-7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7.7098374612221163E-7</v>
      </c>
      <c r="V40">
        <f ca="1">_xlfn.RANK.EQ(Games[[#This Row],[Sort]],Games[Sort],1)</f>
        <v>21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5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1.3928121836116053E-6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1.3928121836116053E-6</v>
      </c>
      <c r="V41">
        <f ca="1">_xlfn.RANK.EQ(Games[[#This Row],[Sort]],Games[Sort],1)</f>
        <v>36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5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3.2285848913127427E-7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3.2285848913127427E-7</v>
      </c>
      <c r="V42">
        <f ca="1">_xlfn.RANK.EQ(Games[[#This Row],[Sort]],Games[Sort],1)</f>
        <v>13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5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7.8287013385393852E-7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7.8287013385393852E-7</v>
      </c>
      <c r="V43">
        <f ca="1">_xlfn.RANK.EQ(Games[[#This Row],[Sort]],Games[Sort],1)</f>
        <v>22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5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1.4046985713433322E-6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1.4046985713433322E-6</v>
      </c>
      <c r="V44">
        <f ca="1">_xlfn.RANK.EQ(Games[[#This Row],[Sort]],Games[Sort],1)</f>
        <v>37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5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2.6483554463221193E-6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2.6483554463221193E-6</v>
      </c>
      <c r="V45">
        <f ca="1">_xlfn.RANK.EQ(Games[[#This Row],[Sort]],Games[Sort],1)</f>
        <v>78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5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2.5957350561726991E-6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2.5957350561726991E-6</v>
      </c>
      <c r="V46">
        <f ca="1">_xlfn.RANK.EQ(Games[[#This Row],[Sort]],Games[Sort],1)</f>
        <v>76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5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1.5257813616923682E-6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1.5257813616923682E-6</v>
      </c>
      <c r="V47">
        <f ca="1">_xlfn.RANK.EQ(Games[[#This Row],[Sort]],Games[Sort],1)</f>
        <v>41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5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1.92692436226835E-6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1.92692436226835E-6</v>
      </c>
      <c r="V48">
        <f ca="1">_xlfn.RANK.EQ(Games[[#This Row],[Sort]],Games[Sort],1)</f>
        <v>59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5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1.5492769219746736E-6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1.5492769219746736E-6</v>
      </c>
      <c r="V49">
        <f ca="1">_xlfn.RANK.EQ(Games[[#This Row],[Sort]],Games[Sort],1)</f>
        <v>42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5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2.0383109453402155E-7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2.0383109453402155E-7</v>
      </c>
      <c r="V50">
        <f ca="1">_xlfn.RANK.EQ(Games[[#This Row],[Sort]],Games[Sort],1)</f>
        <v>8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5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1.1011516649837364E-6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1.1011516649837364E-6</v>
      </c>
      <c r="V51">
        <f ca="1">_xlfn.RANK.EQ(Games[[#This Row],[Sort]],Games[Sort],1)</f>
        <v>31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5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1.3494850346844082E-6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1.3494850346844082E-6</v>
      </c>
      <c r="V52">
        <f ca="1">_xlfn.RANK.EQ(Games[[#This Row],[Sort]],Games[Sort],1)</f>
        <v>34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5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1.9713134721738017E-6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1.9713134721738017E-6</v>
      </c>
      <c r="V53">
        <f ca="1">_xlfn.RANK.EQ(Games[[#This Row],[Sort]],Games[Sort],1)</f>
        <v>61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5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9.0135977769347091E-7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9.0135977769347091E-7</v>
      </c>
      <c r="V54">
        <f ca="1">_xlfn.RANK.EQ(Games[[#This Row],[Sort]],Games[Sort],1)</f>
        <v>27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5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2.6391208899041561E-6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2.6391208899041561E-6</v>
      </c>
      <c r="V55">
        <f ca="1">_xlfn.RANK.EQ(Games[[#This Row],[Sort]],Games[Sort],1)</f>
        <v>77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5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1.5691671954238251E-6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1.5691671954238251E-6</v>
      </c>
      <c r="V56">
        <f ca="1">_xlfn.RANK.EQ(Games[[#This Row],[Sort]],Games[Sort],1)</f>
        <v>44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5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2.1909956329132189E-6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2.1909956329132189E-6</v>
      </c>
      <c r="V57">
        <f ca="1">_xlfn.RANK.EQ(Games[[#This Row],[Sort]],Games[Sort],1)</f>
        <v>65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5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3.2143141270602401E-7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3.2143141270602401E-7</v>
      </c>
      <c r="V58">
        <f ca="1">_xlfn.RANK.EQ(Games[[#This Row],[Sort]],Games[Sort],1)</f>
        <v>12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5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9.4325985019541768E-7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9.4325985019541768E-7</v>
      </c>
      <c r="V59">
        <f ca="1">_xlfn.RANK.EQ(Games[[#This Row],[Sort]],Games[Sort],1)</f>
        <v>29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5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2.5420072807432855E-6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2.5420072807432855E-6</v>
      </c>
      <c r="V60">
        <f ca="1">_xlfn.RANK.EQ(Games[[#This Row],[Sort]],Games[Sort],1)</f>
        <v>74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5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2.1158918228051435E-6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2.1158918228051435E-6</v>
      </c>
      <c r="V61">
        <f ca="1">_xlfn.RANK.EQ(Games[[#This Row],[Sort]],Games[Sort],1)</f>
        <v>63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5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6.0785992377220773E-8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6.0785992377220773E-8</v>
      </c>
      <c r="V62">
        <f ca="1">_xlfn.RANK.EQ(Games[[#This Row],[Sort]],Games[Sort],1)</f>
        <v>6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5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1.6677665658142061E-6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1.6677665658142061E-6</v>
      </c>
      <c r="V63">
        <f ca="1">_xlfn.RANK.EQ(Games[[#This Row],[Sort]],Games[Sort],1)</f>
        <v>50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5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4.6600976333736556E-7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4.6600976333736556E-7</v>
      </c>
      <c r="V64">
        <f ca="1">_xlfn.RANK.EQ(Games[[#This Row],[Sort]],Games[Sort],1)</f>
        <v>15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5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1.7622870284655731E-6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1.7622870284655731E-6</v>
      </c>
      <c r="V65">
        <f ca="1">_xlfn.RANK.EQ(Games[[#This Row],[Sort]],Games[Sort],1)</f>
        <v>55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5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1.7884506346428232E-8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1.7884506346428232E-8</v>
      </c>
      <c r="V66">
        <f ca="1">_xlfn.RANK.EQ(Games[[#This Row],[Sort]],Games[Sort],1)</f>
        <v>2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5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2.662178760471001E-7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2.662178760471001E-7</v>
      </c>
      <c r="V67">
        <f ca="1">_xlfn.RANK.EQ(Games[[#This Row],[Sort]],Games[Sort],1)</f>
        <v>10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5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8.8804631353649371E-7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8.8804631353649371E-7</v>
      </c>
      <c r="V68">
        <f ca="1">_xlfn.RANK.EQ(Games[[#This Row],[Sort]],Games[Sort],1)</f>
        <v>25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5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2.4867937440843613E-6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2.4867937440843613E-6</v>
      </c>
      <c r="V69">
        <f ca="1">_xlfn.RANK.EQ(Games[[#This Row],[Sort]],Games[Sort],1)</f>
        <v>71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5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1.6084741214162684E-6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1.6084741214162684E-6</v>
      </c>
      <c r="V70">
        <f ca="1">_xlfn.RANK.EQ(Games[[#This Row],[Sort]],Games[Sort],1)</f>
        <v>46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5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1.555853731266848E-6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1.555853731266848E-6</v>
      </c>
      <c r="V71">
        <f ca="1">_xlfn.RANK.EQ(Games[[#This Row],[Sort]],Games[Sort],1)</f>
        <v>43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5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7.1582889426754762E-7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7.1582889426754762E-7</v>
      </c>
      <c r="V72">
        <f ca="1">_xlfn.RANK.EQ(Games[[#This Row],[Sort]],Games[Sort],1)</f>
        <v>20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5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1.7111523995456631E-6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1.7111523995456631E-6</v>
      </c>
      <c r="V73">
        <f ca="1">_xlfn.RANK.EQ(Games[[#This Row],[Sort]],Games[Sort],1)</f>
        <v>51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5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2.5813142067357284E-6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2.5813142067357284E-6</v>
      </c>
      <c r="V74">
        <f ca="1">_xlfn.RANK.EQ(Games[[#This Row],[Sort]],Games[Sort],1)</f>
        <v>75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5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4.634166168278619E-7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4.634166168278619E-7</v>
      </c>
      <c r="V75">
        <f ca="1">_xlfn.RANK.EQ(Games[[#This Row],[Sort]],Games[Sort],1)</f>
        <v>14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5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1.4587401221059773E-6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1.4587401221059773E-6</v>
      </c>
      <c r="V76">
        <f ca="1">_xlfn.RANK.EQ(Games[[#This Row],[Sort]],Games[Sort],1)</f>
        <v>39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5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9.3143214726795075E-7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9.3143214726795075E-7</v>
      </c>
      <c r="V77">
        <f ca="1">_xlfn.RANK.EQ(Games[[#This Row],[Sort]],Games[Sort],1)</f>
        <v>28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5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8.7881175711853044E-7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8.7881175711853044E-7</v>
      </c>
      <c r="V78">
        <f ca="1">_xlfn.RANK.EQ(Games[[#This Row],[Sort]],Games[Sort],1)</f>
        <v>24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5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2.1750890222467381E-6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2.1750890222467381E-6</v>
      </c>
      <c r="V79">
        <f ca="1">_xlfn.RANK.EQ(Games[[#This Row],[Sort]],Games[Sort],1)</f>
        <v>64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5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2.7258925573670702E-6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2.7258925573670702E-6</v>
      </c>
      <c r="V80">
        <f ca="1">_xlfn.RANK.EQ(Games[[#This Row],[Sort]],Games[Sort],1)</f>
        <v>81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5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1.2824437950980173E-6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1.2824437950980173E-6</v>
      </c>
      <c r="V81">
        <f ca="1">_xlfn.RANK.EQ(Games[[#This Row],[Sort]],Games[Sort],1)</f>
        <v>33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5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3.020397885000869E-8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3.020397885000869E-8</v>
      </c>
      <c r="V82">
        <f ca="1">_xlfn.RANK.EQ(Games[[#This Row],[Sort]],Games[Sort],1)</f>
        <v>4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2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5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6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8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Tom Grandine</cp:lastModifiedBy>
  <cp:revision/>
  <dcterms:created xsi:type="dcterms:W3CDTF">2004-01-21T05:17:22Z</dcterms:created>
  <dcterms:modified xsi:type="dcterms:W3CDTF">2026-09-24T22:10:26Z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