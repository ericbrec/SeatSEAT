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ED153A15-E71F-45EC-BAF2-E23C9DFC98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8" i="1" l="1"/>
  <c r="AE28" i="1"/>
  <c r="AE24" i="1"/>
  <c r="AF24" i="1" s="1"/>
  <c r="AF28" i="1" s="1"/>
  <c r="AE27" i="1"/>
  <c r="AF27" i="1" s="1"/>
  <c r="AD24" i="1"/>
  <c r="AD25" i="1"/>
  <c r="AE25" i="1" s="1"/>
  <c r="AF25" i="1" s="1"/>
  <c r="AD26" i="1"/>
  <c r="AE26" i="1" s="1"/>
  <c r="AF26" i="1" s="1"/>
  <c r="AD27" i="1"/>
  <c r="AD2" i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Q79" i="1" l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<sst xmlns="http://schemas.openxmlformats.org/spreadsheetml/2006/main" count="273" uniqueCount="99">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</sst>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7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44" fontId="9" fillId="0" borderId="0" applyFont="0" applyFill="0" applyBorder="0" applyAlignment="0" applyProtection="0"/>
  </cellStyleXfs>
  <cellXfs count="24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8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1" fillId="0" borderId="1" xfId="0" applyFont="1" applyBorder="1"/>
    <xf numFmtId="0" fontId="11" fillId="0" borderId="0" xfId="0" applyFont="1"/>
    <xf numFmtId="168" fontId="0" fillId="0" borderId="0" xfId="0" applyNumberFormat="1"/>
  </cellXfs>
  <cellStyles count="7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7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6" dataDxfId="25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4"/>
    <tableColumn id="2" xr3:uid="{00000000-0010-0000-0000-000002000000}" name="Date" dataDxfId="23"/>
    <tableColumn id="5" xr3:uid="{00000000-0010-0000-0000-000005000000}" name="Time" dataDxfId="22"/>
    <tableColumn id="4" xr3:uid="{00000000-0010-0000-0000-000004000000}" name="Opponent" dataDxfId="21"/>
    <tableColumn id="7" xr3:uid="{9E8F088B-1EA6-44CA-B818-1F7D43F5D5E7}" name="Type" dataCellStyle="Normal"/>
    <tableColumn id="8" xr3:uid="{AA6D2002-4C78-4093-9793-A575FAC0F72F}" name="Price" dataDxfId="20" dataCellStyle="Currency">
      <calculatedColumnFormula>_xlfn.XLOOKUP(Games[[#This Row],[Type]],Types[Type],Types[Price])</calculatedColumnFormula>
    </tableColumn>
    <tableColumn id="21" xr3:uid="{6605C5A5-6B7D-4186-8D6F-A61D7DFDD8D4}" name="GamePairs" dataDxfId="19">
      <calculatedColumnFormula>_xlfn.XLOOKUP(Games[[#This Row],[Type]],Types[Type],Types[Pairs])</calculatedColumnFormula>
    </tableColumn>
    <tableColumn id="15" xr3:uid="{9471ECAA-F4C1-478C-B117-15D31D83B2FA}" name="Seats" dataDxfId="18">
      <calculatedColumnFormula>TEXT(Games[[#This Row],[Price]],"$#,##0.00")&amp;" ("&amp;Games[[#This Row],[GamePairs]]*2&amp;")"</calculatedColumnFormula>
    </tableColumn>
    <tableColumn id="6" xr3:uid="{00000000-0010-0000-0000-000006000000}" name="Rank" dataDxfId="17"/>
    <tableColumn id="10" xr3:uid="{00000000-0010-0000-0000-00000A000000}" name="QuadRank" dataDxfId="16" dataCellStyle="Normal 2"/>
    <tableColumn id="13" xr3:uid="{10011C92-A32E-4605-8584-BDBE5EABC83A}" name="Sort" dataDxfId="15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4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3">
      <calculatedColumnFormula>_xlfn.RANK.EQ(Games[[#This Row],[Sort]],Games[Sort],1)</calculatedColumnFormula>
    </tableColumn>
    <tableColumn id="9" xr3:uid="{FE7F021A-A7DE-4DDD-9CB4-33114D9B6A5E}" name="QuadPick" dataDxfId="12">
      <calculatedColumnFormula>IF(ISNUMBER(Games[[#This Row],[QuadRank]]),_xlfn.RANK.EQ(Games[[#This Row],[QuadSort]],Games[QuadSort],1),"")</calculatedColumnFormula>
    </tableColumn>
    <tableColumn id="1" xr3:uid="{E202D478-E193-4757-B123-9D114B30B5E4}" name="Promotions" dataDxfId="11"/>
    <tableColumn id="14" xr3:uid="{02873305-C254-48E4-9E8D-324FD18F7B69}" name="Comments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9" totalsRowDxfId="8"/>
    <tableColumn id="2" xr3:uid="{D785142C-C4FC-418F-A0C8-7745E2B467E4}" name="Price" dataDxfId="7" dataCellStyle="Currency" totalsRowCellStyle="Currency"/>
    <tableColumn id="3" xr3:uid="{F14FCFFA-E6B3-465B-BEC9-D1AFB23F6C0D}" name="Pairs"/>
    <tableColumn id="4" xr3:uid="{77C90207-35F5-4AB4-B4C2-39C4FABA9268}" name="Games" totalsRowFunction="sum" dataDxfId="6">
      <calculatedColumnFormula>COUNTIF(Games[Type],Types[[#This Row],[Type]])</calculatedColumnFormula>
    </tableColumn>
    <tableColumn id="5" xr3:uid="{B143CB75-DF50-4323-85C5-10526A2643E2}" name="Tickets" totalsRowFunction="sum" dataDxfId="5">
      <calculatedColumnFormula>Types[[#This Row],[Games]]*Types[[#This Row],[Pairs]]*2</calculatedColumnFormula>
    </tableColumn>
    <tableColumn id="6" xr3:uid="{1050CF1C-249D-4CE7-A143-304C5582C5BA}" name="Cost" totalsRowFunction="sum" dataDxfId="4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3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82"/>
  <sheetViews>
    <sheetView tabSelected="1" zoomScale="90" zoomScaleNormal="90" workbookViewId="0">
      <pane ySplit="1" topLeftCell="A2" activePane="bottomLeft" state="frozen"/>
      <selection pane="bottomLeft" activeCell="R2" sqref="R2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6" width="7.28515625" hidden="1" customWidth="1"/>
    <col min="17" max="17" width="10" bestFit="1" customWidth="1"/>
    <col min="18" max="18" width="7.140625" customWidth="1"/>
    <col min="19" max="19" width="15.85546875" customWidth="1"/>
    <col min="20" max="20" width="15.85546875" hidden="1" customWidth="1"/>
    <col min="21" max="21" width="9.140625" hidden="1" customWidth="1"/>
    <col min="22" max="22" width="10.140625" bestFit="1" customWidth="1"/>
    <col min="23" max="23" width="7.28515625" customWidth="1"/>
    <col min="24" max="24" width="88.5703125" bestFit="1" customWidth="1"/>
    <col min="25" max="25" width="22.7109375" customWidth="1"/>
    <col min="26" max="26" width="3" customWidth="1"/>
    <col min="27" max="27" width="14" bestFit="1" customWidth="1"/>
    <col min="28" max="28" width="7.140625" customWidth="1"/>
    <col min="29" max="29" width="8.140625" customWidth="1"/>
    <col min="30" max="30" width="10.28515625" bestFit="1" customWidth="1"/>
    <col min="32" max="32" width="11" bestFit="1" customWidth="1"/>
  </cols>
  <sheetData>
    <row r="1" spans="1:31" s="1" customFormat="1" ht="47.2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19" t="s">
        <v>95</v>
      </c>
      <c r="Q1" s="19" t="s">
        <v>96</v>
      </c>
      <c r="R1" s="20" t="s">
        <v>3</v>
      </c>
      <c r="S1" s="20" t="s">
        <v>87</v>
      </c>
      <c r="T1" s="19" t="s">
        <v>75</v>
      </c>
      <c r="U1" s="19" t="s">
        <v>94</v>
      </c>
      <c r="V1" s="19" t="s">
        <v>89</v>
      </c>
      <c r="W1" s="19" t="s">
        <v>90</v>
      </c>
      <c r="X1" s="17" t="s">
        <v>92</v>
      </c>
      <c r="Y1" s="17" t="s">
        <v>93</v>
      </c>
      <c r="AA1" s="17" t="s">
        <v>91</v>
      </c>
      <c r="AB1" s="17" t="s">
        <v>76</v>
      </c>
      <c r="AC1" s="17" t="s">
        <v>77</v>
      </c>
      <c r="AD1" s="17" t="s">
        <v>82</v>
      </c>
      <c r="AE1" s="17" t="s">
        <v>83</v>
      </c>
    </row>
    <row r="2" spans="1:31" x14ac:dyDescent="0.2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12"/>
      <c r="S2" s="16"/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2.993054936754785E-7</v>
      </c>
      <c r="U2" cm="1">
        <f t="array" aca="1" ref="U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2.993054936754785E-7</v>
      </c>
      <c r="V2">
        <f ca="1">_xlfn.RANK.EQ(Games[[#This Row],[Sort]],Games[Sort],1)</f>
        <v>14</v>
      </c>
      <c r="W2" t="str">
        <f>IF(ISNUMBER(Games[[#This Row],[QuadRank]]),_xlfn.RANK.EQ(Games[[#This Row],[QuadSort]],Games[QuadSort],1),"")</f>
        <v/>
      </c>
      <c r="X2" s="5" t="s">
        <v>38</v>
      </c>
      <c r="Y2" s="5"/>
      <c r="AA2" s="21" t="s">
        <v>78</v>
      </c>
      <c r="AB2" s="22">
        <v>10</v>
      </c>
      <c r="AC2" s="22">
        <v>2</v>
      </c>
      <c r="AD2">
        <f>Names[[#This Row],[Pairs]]+Names[[#This Row],[Quads]]</f>
        <v>12</v>
      </c>
      <c r="AE2">
        <f>Names[[#This Row],[Pairs]]*2 + Names[[#This Row],[Quads]]*4</f>
        <v>28</v>
      </c>
    </row>
    <row r="3" spans="1:31" x14ac:dyDescent="0.2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12"/>
      <c r="S3" s="16"/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2.3752420088148691E-6</v>
      </c>
      <c r="U3" cm="1">
        <f t="array" aca="1" ref="U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2.3752420088148691E-6</v>
      </c>
      <c r="V3">
        <f ca="1">_xlfn.RANK.EQ(Games[[#This Row],[Sort]],Games[Sort],1)</f>
        <v>73</v>
      </c>
      <c r="W3" t="str">
        <f>IF(ISNUMBER(Games[[#This Row],[QuadRank]]),_xlfn.RANK.EQ(Games[[#This Row],[QuadSort]],Games[QuadSort],1),"")</f>
        <v/>
      </c>
      <c r="X3" s="5" t="s">
        <v>39</v>
      </c>
      <c r="Y3" s="5"/>
      <c r="AA3" s="21" t="s">
        <v>79</v>
      </c>
      <c r="AB3" s="22">
        <v>20</v>
      </c>
      <c r="AC3" s="22">
        <v>2</v>
      </c>
      <c r="AD3">
        <f>Names[[#This Row],[Pairs]]+Names[[#This Row],[Quads]]</f>
        <v>22</v>
      </c>
      <c r="AE3">
        <f>Names[[#This Row],[Pairs]]*2 + Names[[#This Row],[Quads]]*4</f>
        <v>48</v>
      </c>
    </row>
    <row r="4" spans="1:31" x14ac:dyDescent="0.2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12"/>
      <c r="S4" s="16"/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2.2174111962930799E-6</v>
      </c>
      <c r="U4" cm="1">
        <f t="array" aca="1" ref="U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2.2174111962930799E-6</v>
      </c>
      <c r="V4">
        <f ca="1">_xlfn.RANK.EQ(Games[[#This Row],[Sort]],Games[Sort],1)</f>
        <v>71</v>
      </c>
      <c r="W4" t="str">
        <f>IF(ISNUMBER(Games[[#This Row],[QuadRank]]),_xlfn.RANK.EQ(Games[[#This Row],[QuadSort]],Games[QuadSort],1),"")</f>
        <v/>
      </c>
      <c r="X4" s="5" t="s">
        <v>40</v>
      </c>
      <c r="Y4" s="5"/>
      <c r="AA4" s="21" t="s">
        <v>80</v>
      </c>
      <c r="AB4" s="22">
        <v>22</v>
      </c>
      <c r="AC4" s="22">
        <v>0</v>
      </c>
      <c r="AD4">
        <f>Names[[#This Row],[Pairs]]+Names[[#This Row],[Quads]]</f>
        <v>22</v>
      </c>
      <c r="AE4">
        <f>Names[[#This Row],[Pairs]]*2 + Names[[#This Row],[Quads]]*4</f>
        <v>44</v>
      </c>
    </row>
    <row r="5" spans="1:31" x14ac:dyDescent="0.2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12"/>
      <c r="S5" s="16"/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2.0155078329605189E-6</v>
      </c>
      <c r="U5" cm="1">
        <f t="array" aca="1" ref="U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2.0155078329605189E-6</v>
      </c>
      <c r="V5">
        <f ca="1">_xlfn.RANK.EQ(Games[[#This Row],[Sort]],Games[Sort],1)</f>
        <v>64</v>
      </c>
      <c r="W5" t="str">
        <f>IF(ISNUMBER(Games[[#This Row],[QuadRank]]),_xlfn.RANK.EQ(Games[[#This Row],[QuadSort]],Games[QuadSort],1),"")</f>
        <v/>
      </c>
      <c r="X5" s="5"/>
      <c r="Y5" s="5"/>
      <c r="AD5">
        <f>Names[[#This Row],[Pairs]]+Names[[#This Row],[Quads]]</f>
        <v>0</v>
      </c>
      <c r="AE5">
        <f>Names[[#This Row],[Pairs]]*2 + Names[[#This Row],[Quads]]*4</f>
        <v>0</v>
      </c>
    </row>
    <row r="6" spans="1:31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12"/>
      <c r="S6" s="16"/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1.3247659691443591E-6</v>
      </c>
      <c r="U6" cm="1">
        <f t="array" aca="1" ref="U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1.3247659691443591E-6</v>
      </c>
      <c r="V6">
        <f ca="1">_xlfn.RANK.EQ(Games[[#This Row],[Sort]],Games[Sort],1)</f>
        <v>41</v>
      </c>
      <c r="W6" t="str">
        <f>IF(ISNUMBER(Games[[#This Row],[QuadRank]]),_xlfn.RANK.EQ(Games[[#This Row],[QuadSort]],Games[QuadSort],1),"")</f>
        <v/>
      </c>
      <c r="X6" s="5"/>
      <c r="Y6" s="5"/>
      <c r="AD6">
        <f>Names[[#This Row],[Pairs]]+Names[[#This Row],[Quads]]</f>
        <v>0</v>
      </c>
      <c r="AE6">
        <f>Names[[#This Row],[Pairs]]*2 + Names[[#This Row],[Quads]]*4</f>
        <v>0</v>
      </c>
    </row>
    <row r="7" spans="1:31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12"/>
      <c r="S7" s="16"/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1.9465944066337525E-6</v>
      </c>
      <c r="U7" cm="1">
        <f t="array" aca="1" ref="U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1.9465944066337525E-6</v>
      </c>
      <c r="V7">
        <f ca="1">_xlfn.RANK.EQ(Games[[#This Row],[Sort]],Games[Sort],1)</f>
        <v>60</v>
      </c>
      <c r="W7" t="str">
        <f>IF(ISNUMBER(Games[[#This Row],[QuadRank]]),_xlfn.RANK.EQ(Games[[#This Row],[QuadSort]],Games[QuadSort],1),"")</f>
        <v/>
      </c>
      <c r="X7" s="5"/>
      <c r="Y7" s="5"/>
      <c r="AD7">
        <f>Names[[#This Row],[Pairs]]+Names[[#This Row],[Quads]]</f>
        <v>0</v>
      </c>
      <c r="AE7">
        <f>Names[[#This Row],[Pairs]]*2 + Names[[#This Row],[Quads]]*4</f>
        <v>0</v>
      </c>
    </row>
    <row r="8" spans="1:31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12"/>
      <c r="S8" s="16"/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2.0219188451460779E-7</v>
      </c>
      <c r="U8" cm="1">
        <f t="array" aca="1" ref="U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2.0219188451460779E-7</v>
      </c>
      <c r="V8">
        <f ca="1">_xlfn.RANK.EQ(Games[[#This Row],[Sort]],Games[Sort],1)</f>
        <v>9</v>
      </c>
      <c r="W8" t="str">
        <f>IF(ISNUMBER(Games[[#This Row],[QuadRank]]),_xlfn.RANK.EQ(Games[[#This Row],[QuadSort]],Games[QuadSort],1),"")</f>
        <v/>
      </c>
      <c r="X8" s="5"/>
      <c r="Y8" s="5"/>
      <c r="AD8">
        <f>Names[[#This Row],[Pairs]]+Names[[#This Row],[Quads]]</f>
        <v>0</v>
      </c>
      <c r="AE8">
        <f>Names[[#This Row],[Pairs]]*2 + Names[[#This Row],[Quads]]*4</f>
        <v>0</v>
      </c>
    </row>
    <row r="9" spans="1:31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12"/>
      <c r="S9" s="16"/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5.4912462460566056E-7</v>
      </c>
      <c r="U9" cm="1">
        <f t="array" aca="1" ref="U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5.4912462460566056E-7</v>
      </c>
      <c r="V9">
        <f ca="1">_xlfn.RANK.EQ(Games[[#This Row],[Sort]],Games[Sort],1)</f>
        <v>22</v>
      </c>
      <c r="W9" t="str">
        <f>IF(ISNUMBER(Games[[#This Row],[QuadRank]]),_xlfn.RANK.EQ(Games[[#This Row],[QuadSort]],Games[QuadSort],1),"")</f>
        <v/>
      </c>
      <c r="X9" s="5" t="s">
        <v>41</v>
      </c>
      <c r="Y9" s="5"/>
      <c r="AD9">
        <f>Names[[#This Row],[Pairs]]+Names[[#This Row],[Quads]]</f>
        <v>0</v>
      </c>
      <c r="AE9">
        <f>Names[[#This Row],[Pairs]]*2 + Names[[#This Row],[Quads]]*4</f>
        <v>0</v>
      </c>
    </row>
    <row r="10" spans="1:31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12"/>
      <c r="S10" s="16"/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1.1709530620950541E-6</v>
      </c>
      <c r="U10" cm="1">
        <f t="array" aca="1" ref="U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1.1709530620950541E-6</v>
      </c>
      <c r="V10">
        <f ca="1">_xlfn.RANK.EQ(Games[[#This Row],[Sort]],Games[Sort],1)</f>
        <v>37</v>
      </c>
      <c r="W10" t="str">
        <f>IF(ISNUMBER(Games[[#This Row],[QuadRank]]),_xlfn.RANK.EQ(Games[[#This Row],[QuadSort]],Games[QuadSort],1),"")</f>
        <v/>
      </c>
      <c r="X10" s="5" t="s">
        <v>42</v>
      </c>
      <c r="Y10" s="5"/>
      <c r="AD10">
        <f>Names[[#This Row],[Pairs]]+Names[[#This Row],[Quads]]</f>
        <v>0</v>
      </c>
      <c r="AE10">
        <f>Names[[#This Row],[Pairs]]*2 + Names[[#This Row],[Quads]]*4</f>
        <v>0</v>
      </c>
    </row>
    <row r="11" spans="1:31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12"/>
      <c r="S11" s="16"/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2.1662765673731698E-6</v>
      </c>
      <c r="U11" cm="1">
        <f t="array" aca="1" ref="U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2.1662765673731698E-6</v>
      </c>
      <c r="V11">
        <f ca="1">_xlfn.RANK.EQ(Games[[#This Row],[Sort]],Games[Sort],1)</f>
        <v>68</v>
      </c>
      <c r="W11" t="str">
        <f>IF(ISNUMBER(Games[[#This Row],[QuadRank]]),_xlfn.RANK.EQ(Games[[#This Row],[QuadSort]],Games[QuadSort],1),"")</f>
        <v/>
      </c>
      <c r="X11" s="5"/>
      <c r="Y11" s="5"/>
      <c r="AD11">
        <f>Names[[#This Row],[Pairs]]+Names[[#This Row],[Quads]]</f>
        <v>0</v>
      </c>
      <c r="AE11">
        <f>Names[[#This Row],[Pairs]]*2 + Names[[#This Row],[Quads]]*4</f>
        <v>0</v>
      </c>
    </row>
    <row r="12" spans="1:31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12"/>
      <c r="S12" s="16"/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4.837897746530298E-8</v>
      </c>
      <c r="U12" cm="1">
        <f t="array" aca="1" ref="U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4.837897746530298E-8</v>
      </c>
      <c r="V12">
        <f ca="1">_xlfn.RANK.EQ(Games[[#This Row],[Sort]],Games[Sort],1)</f>
        <v>3</v>
      </c>
      <c r="W12" t="str">
        <f>IF(ISNUMBER(Games[[#This Row],[QuadRank]]),_xlfn.RANK.EQ(Games[[#This Row],[QuadSort]],Games[QuadSort],1),"")</f>
        <v/>
      </c>
      <c r="X12" s="5"/>
      <c r="Y12" s="5"/>
      <c r="AD12">
        <f>Names[[#This Row],[Pairs]]+Names[[#This Row],[Quads]]</f>
        <v>0</v>
      </c>
      <c r="AE12">
        <f>Names[[#This Row],[Pairs]]*2 + Names[[#This Row],[Quads]]*4</f>
        <v>0</v>
      </c>
    </row>
    <row r="13" spans="1:31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12"/>
      <c r="S13" s="16"/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2.1621976596341557E-6</v>
      </c>
      <c r="U13" cm="1">
        <f t="array" aca="1" ref="U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2.1621976596341557E-6</v>
      </c>
      <c r="V13">
        <f ca="1">_xlfn.RANK.EQ(Games[[#This Row],[Sort]],Games[Sort],1)</f>
        <v>67</v>
      </c>
      <c r="W13" t="str">
        <f>IF(ISNUMBER(Games[[#This Row],[QuadRank]]),_xlfn.RANK.EQ(Games[[#This Row],[QuadSort]],Games[QuadSort],1),"")</f>
        <v/>
      </c>
      <c r="X13" s="5" t="s">
        <v>43</v>
      </c>
      <c r="Y13" s="5"/>
      <c r="AD13">
        <f>Names[[#This Row],[Pairs]]+Names[[#This Row],[Quads]]</f>
        <v>0</v>
      </c>
      <c r="AE13">
        <f>Names[[#This Row],[Pairs]]*2 + Names[[#This Row],[Quads]]*4</f>
        <v>0</v>
      </c>
    </row>
    <row r="14" spans="1:31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12"/>
      <c r="S14" s="16"/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3.1787068902017319E-7</v>
      </c>
      <c r="U14" cm="1">
        <f t="array" aca="1" ref="U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3.1787068902017319E-7</v>
      </c>
      <c r="V14">
        <f ca="1">_xlfn.RANK.EQ(Games[[#This Row],[Sort]],Games[Sort],1)</f>
        <v>16</v>
      </c>
      <c r="W14" t="str">
        <f>IF(ISNUMBER(Games[[#This Row],[QuadRank]]),_xlfn.RANK.EQ(Games[[#This Row],[QuadSort]],Games[QuadSort],1),"")</f>
        <v/>
      </c>
      <c r="X14" s="5" t="s">
        <v>44</v>
      </c>
      <c r="Y14" s="5"/>
      <c r="AD14">
        <f>Names[[#This Row],[Pairs]]+Names[[#This Row],[Quads]]</f>
        <v>0</v>
      </c>
      <c r="AE14">
        <f>Names[[#This Row],[Pairs]]*2 + Names[[#This Row],[Quads]]*4</f>
        <v>0</v>
      </c>
    </row>
    <row r="15" spans="1:31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12"/>
      <c r="S15" s="16"/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1.643047500274157E-6</v>
      </c>
      <c r="U15" cm="1">
        <f t="array" aca="1" ref="U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1.643047500274157E-6</v>
      </c>
      <c r="V15">
        <f ca="1">_xlfn.RANK.EQ(Games[[#This Row],[Sort]],Games[Sort],1)</f>
        <v>46</v>
      </c>
      <c r="W15" t="str">
        <f>IF(ISNUMBER(Games[[#This Row],[QuadRank]]),_xlfn.RANK.EQ(Games[[#This Row],[QuadSort]],Games[QuadSort],1),"")</f>
        <v/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12"/>
      <c r="S16" s="16"/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1.8913808699748288E-6</v>
      </c>
      <c r="U16" cm="1">
        <f t="array" aca="1" ref="U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1.8913808699748288E-6</v>
      </c>
      <c r="V16">
        <f ca="1">_xlfn.RANK.EQ(Games[[#This Row],[Sort]],Games[Sort],1)</f>
        <v>58</v>
      </c>
      <c r="W16" t="str">
        <f>IF(ISNUMBER(Games[[#This Row],[QuadRank]]),_xlfn.RANK.EQ(Games[[#This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12"/>
      <c r="S17" s="16"/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2.5132093074642222E-6</v>
      </c>
      <c r="U17" cm="1">
        <f t="array" aca="1" ref="U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2.5132093074642222E-6</v>
      </c>
      <c r="V17">
        <f ca="1">_xlfn.RANK.EQ(Games[[#This Row],[Sort]],Games[Sort],1)</f>
        <v>78</v>
      </c>
      <c r="W17" t="str">
        <f>IF(ISNUMBER(Games[[#This Row],[QuadRank]]),_xlfn.RANK.EQ(Games[[#This Row],[QuadSort]],Games[QuadSort],1),"")</f>
        <v/>
      </c>
      <c r="X17" s="5"/>
      <c r="Y17" s="5"/>
      <c r="AA17" t="s">
        <v>81</v>
      </c>
      <c r="AB17">
        <f>SUBTOTAL(109,Names[Pairs])</f>
        <v>52</v>
      </c>
      <c r="AC17">
        <f>SUBTOTAL(109,Names[Quads])</f>
        <v>4</v>
      </c>
      <c r="AD17">
        <f>SUBTOTAL(109,Names[Games])</f>
        <v>56</v>
      </c>
      <c r="AE17">
        <f>SUBTOTAL(109,Names[Tickets])</f>
        <v>120</v>
      </c>
    </row>
    <row r="18" spans="2:32" x14ac:dyDescent="0.2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12"/>
      <c r="S18" s="16"/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7.6880678534507751E-7</v>
      </c>
      <c r="U18" cm="1">
        <f t="array" aca="1" ref="U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7.6880678534507751E-7</v>
      </c>
      <c r="V18">
        <f ca="1">_xlfn.RANK.EQ(Games[[#This Row],[Sort]],Games[Sort],1)</f>
        <v>27</v>
      </c>
      <c r="W18" t="str">
        <f>IF(ISNUMBER(Games[[#This Row],[QuadRank]]),_xlfn.RANK.EQ(Games[[#This Row],[QuadSort]],Games[QuadSort],1),"")</f>
        <v/>
      </c>
      <c r="X18" s="5"/>
      <c r="Y18" s="5"/>
      <c r="AC18" t="s">
        <v>85</v>
      </c>
      <c r="AE18" s="1">
        <f>SUM(Games[GamePairs]) - Names[[#Totals],[Tickets]]/2</f>
        <v>102</v>
      </c>
    </row>
    <row r="19" spans="2:32" x14ac:dyDescent="0.2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12"/>
      <c r="S19" s="16"/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1.772133859308207E-6</v>
      </c>
      <c r="U19" cm="1">
        <f t="array" aca="1" ref="U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1.772133859308207E-6</v>
      </c>
      <c r="V19">
        <f ca="1">_xlfn.RANK.EQ(Games[[#This Row],[Sort]],Games[Sort],1)</f>
        <v>51</v>
      </c>
      <c r="W19" t="str">
        <f>IF(ISNUMBER(Games[[#This Row],[QuadRank]]),_xlfn.RANK.EQ(Games[[#This Row],[QuadSort]],Games[QuadSort],1),"")</f>
        <v/>
      </c>
      <c r="X19" s="5" t="s">
        <v>46</v>
      </c>
      <c r="Y19" s="5"/>
      <c r="AC19" s="3" t="s">
        <v>97</v>
      </c>
      <c r="AE19">
        <f>COUNTIF(Games[GamePairs],"&gt;1")-Names[[#Totals],[Quads]]</f>
        <v>77</v>
      </c>
    </row>
    <row r="20" spans="2:32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12"/>
      <c r="S20" s="16"/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1.737567962925524E-6</v>
      </c>
      <c r="U20" cm="1">
        <f t="array" aca="1" ref="U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1.737567962925524E-6</v>
      </c>
      <c r="V20">
        <f ca="1">_xlfn.RANK.EQ(Games[[#This Row],[Sort]],Games[Sort],1)</f>
        <v>49</v>
      </c>
      <c r="W20" t="str">
        <f>IF(ISNUMBER(Games[[#This Row],[QuadRank]]),_xlfn.RANK.EQ(Games[[#This Row],[QuadSort]],Games[QuadSort],1),"")</f>
        <v/>
      </c>
      <c r="X20" s="5" t="s">
        <v>47</v>
      </c>
      <c r="Y20" s="5"/>
    </row>
    <row r="21" spans="2:32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12"/>
      <c r="S21" s="16"/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2.7328914682036395E-6</v>
      </c>
      <c r="U21" cm="1">
        <f t="array" aca="1" ref="U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2.7328914682036395E-6</v>
      </c>
      <c r="V21">
        <f ca="1">_xlfn.RANK.EQ(Games[[#This Row],[Sort]],Games[Sort],1)</f>
        <v>81</v>
      </c>
      <c r="W21" t="str">
        <f>IF(ISNUMBER(Games[[#This Row],[QuadRank]]),_xlfn.RANK.EQ(Games[[#This Row],[QuadSort]],Games[QuadSort],1),"")</f>
        <v/>
      </c>
      <c r="X21" s="5" t="s">
        <v>48</v>
      </c>
      <c r="Y21" s="5"/>
    </row>
    <row r="22" spans="2:32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12"/>
      <c r="S22" s="16"/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2.4149881050705093E-7</v>
      </c>
      <c r="U22" cm="1">
        <f t="array" aca="1" ref="U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2.4149881050705093E-7</v>
      </c>
      <c r="V22">
        <f ca="1">_xlfn.RANK.EQ(Games[[#This Row],[Sort]],Games[Sort],1)</f>
        <v>10</v>
      </c>
      <c r="W22" t="str">
        <f>IF(ISNUMBER(Games[[#This Row],[QuadRank]]),_xlfn.RANK.EQ(Games[[#This Row],[QuadSort]],Games[QuadSort],1),"")</f>
        <v/>
      </c>
      <c r="X22" s="5"/>
      <c r="Y22" s="5"/>
    </row>
    <row r="23" spans="2:32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12"/>
      <c r="S23" s="16"/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8.6332724799644459E-7</v>
      </c>
      <c r="U23" cm="1">
        <f t="array" aca="1" ref="U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8.6332724799644459E-7</v>
      </c>
      <c r="V23">
        <f ca="1">_xlfn.RANK.EQ(Games[[#This Row],[Sort]],Games[Sort],1)</f>
        <v>29</v>
      </c>
      <c r="W23" t="str">
        <f>IF(ISNUMBER(Games[[#This Row],[QuadRank]]),_xlfn.RANK.EQ(Games[[#This Row],[QuadSort]],Games[QuadSort],1),"")</f>
        <v/>
      </c>
      <c r="X23" s="5"/>
      <c r="Y23" s="5"/>
      <c r="AA23" t="s">
        <v>86</v>
      </c>
      <c r="AB23" t="s">
        <v>88</v>
      </c>
      <c r="AC23" t="s">
        <v>76</v>
      </c>
      <c r="AD23" t="s">
        <v>82</v>
      </c>
      <c r="AE23" t="s">
        <v>83</v>
      </c>
      <c r="AF23" t="s">
        <v>98</v>
      </c>
    </row>
    <row r="24" spans="2:32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12"/>
      <c r="S24" s="16"/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1.8586507532745599E-6</v>
      </c>
      <c r="U24" cm="1">
        <f t="array" aca="1" ref="U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1.8586507532745599E-6</v>
      </c>
      <c r="V24">
        <f ca="1">_xlfn.RANK.EQ(Games[[#This Row],[Sort]],Games[Sort],1)</f>
        <v>56</v>
      </c>
      <c r="W24" t="str">
        <f>IF(ISNUMBER(Games[[#This Row],[QuadRank]]),_xlfn.RANK.EQ(Games[[#This Row],[QuadSort]],Games[QuadSort],1),"")</f>
        <v/>
      </c>
      <c r="X24" s="5"/>
      <c r="Y24" s="5"/>
      <c r="AA24" s="3" t="s">
        <v>69</v>
      </c>
      <c r="AB24" s="15">
        <v>90</v>
      </c>
      <c r="AC24">
        <v>2</v>
      </c>
      <c r="AD24">
        <f>COUNTIF(Games[Type],Types[[#This Row],[Type]])</f>
        <v>22</v>
      </c>
      <c r="AE24">
        <f>Types[[#This Row],[Games]]*Types[[#This Row],[Pairs]]*2</f>
        <v>88</v>
      </c>
      <c r="AF24" s="23">
        <f>Types[[#This Row],[Tickets]]*Types[[#This Row],[Price]]</f>
        <v>7920</v>
      </c>
    </row>
    <row r="25" spans="2:32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12"/>
      <c r="S25" s="16"/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2.2055834933656127E-6</v>
      </c>
      <c r="U25" cm="1">
        <f t="array" aca="1" ref="U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2.2055834933656127E-6</v>
      </c>
      <c r="V25">
        <f ca="1">_xlfn.RANK.EQ(Games[[#This Row],[Sort]],Games[Sort],1)</f>
        <v>69</v>
      </c>
      <c r="W25" t="str">
        <f>IF(ISNUMBER(Games[[#This Row],[QuadRank]]),_xlfn.RANK.EQ(Games[[#This Row],[QuadSort]],Games[QuadSort],1),"")</f>
        <v/>
      </c>
      <c r="X25" s="5" t="s">
        <v>49</v>
      </c>
      <c r="Y25" s="5"/>
      <c r="AA25" s="3" t="s">
        <v>70</v>
      </c>
      <c r="AB25" s="15">
        <v>69</v>
      </c>
      <c r="AC25">
        <v>2</v>
      </c>
      <c r="AD25">
        <f>COUNTIF(Games[Type],Types[[#This Row],[Type]])</f>
        <v>29</v>
      </c>
      <c r="AE25">
        <f>Types[[#This Row],[Games]]*Types[[#This Row],[Pairs]]*2</f>
        <v>116</v>
      </c>
      <c r="AF25" s="23">
        <f>Types[[#This Row],[Tickets]]*Types[[#This Row],[Price]]</f>
        <v>8004</v>
      </c>
    </row>
    <row r="26" spans="2:32" x14ac:dyDescent="0.2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12"/>
      <c r="S26" s="16"/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2.4975586248791383E-6</v>
      </c>
      <c r="U26" cm="1">
        <f t="array" aca="1" ref="U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2.4975586248791383E-6</v>
      </c>
      <c r="V26">
        <f ca="1">_xlfn.RANK.EQ(Games[[#This Row],[Sort]],Games[Sort],1)</f>
        <v>77</v>
      </c>
      <c r="W26" t="str">
        <f>IF(ISNUMBER(Games[[#This Row],[QuadRank]]),_xlfn.RANK.EQ(Games[[#This Row],[QuadSort]],Games[QuadSort],1),"")</f>
        <v/>
      </c>
      <c r="X26" s="5" t="s">
        <v>50</v>
      </c>
      <c r="Y26" s="5"/>
      <c r="AA26" s="3" t="s">
        <v>72</v>
      </c>
      <c r="AB26" s="15">
        <v>57</v>
      </c>
      <c r="AC26">
        <v>2</v>
      </c>
      <c r="AD26">
        <f>COUNTIF(Games[Type],Types[[#This Row],[Type]])</f>
        <v>19</v>
      </c>
      <c r="AE26">
        <f>Types[[#This Row],[Games]]*Types[[#This Row],[Pairs]]*2</f>
        <v>76</v>
      </c>
      <c r="AF26" s="23">
        <f>Types[[#This Row],[Tickets]]*Types[[#This Row],[Price]]</f>
        <v>4332</v>
      </c>
    </row>
    <row r="27" spans="2:32" x14ac:dyDescent="0.2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12"/>
      <c r="S27" s="16"/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2.0220846422526933E-6</v>
      </c>
      <c r="U27" cm="1">
        <f t="array" aca="1" ref="U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2.0220846422526933E-6</v>
      </c>
      <c r="V27">
        <f ca="1">_xlfn.RANK.EQ(Games[[#This Row],[Sort]],Games[Sort],1)</f>
        <v>65</v>
      </c>
      <c r="W27" t="str">
        <f>IF(ISNUMBER(Games[[#This Row],[QuadRank]]),_xlfn.RANK.EQ(Games[[#This Row],[QuadSort]],Games[QuadSort],1),"")</f>
        <v/>
      </c>
      <c r="X27" s="5"/>
      <c r="Y27" s="5"/>
      <c r="AA27" s="3" t="s">
        <v>71</v>
      </c>
      <c r="AB27" s="15">
        <v>45</v>
      </c>
      <c r="AC27">
        <v>2</v>
      </c>
      <c r="AD27">
        <f>COUNTIF(Games[Type],Types[[#This Row],[Type]])</f>
        <v>11</v>
      </c>
      <c r="AE27">
        <f>Types[[#This Row],[Games]]*Types[[#This Row],[Pairs]]*2</f>
        <v>44</v>
      </c>
      <c r="AF27" s="23">
        <f>Types[[#This Row],[Tickets]]*Types[[#This Row],[Price]]</f>
        <v>1980</v>
      </c>
    </row>
    <row r="28" spans="2:32" x14ac:dyDescent="0.2">
      <c r="B28" s="13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12"/>
      <c r="S28" s="16"/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1.9347667037062858E-6</v>
      </c>
      <c r="U28" cm="1">
        <f t="array" aca="1" ref="U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1.9347667037062858E-6</v>
      </c>
      <c r="V28">
        <f ca="1">_xlfn.RANK.EQ(Games[[#This Row],[Sort]],Games[Sort],1)</f>
        <v>59</v>
      </c>
      <c r="W28" t="str">
        <f>IF(ISNUMBER(Games[[#This Row],[QuadRank]]),_xlfn.RANK.EQ(Games[[#This Row],[QuadSort]],Games[QuadSort],1),"")</f>
        <v/>
      </c>
      <c r="X28" s="5" t="s">
        <v>51</v>
      </c>
      <c r="Y28" s="5"/>
      <c r="AA28" s="3" t="s">
        <v>81</v>
      </c>
      <c r="AD28">
        <f>SUBTOTAL(109,Types[Games])</f>
        <v>81</v>
      </c>
      <c r="AE28">
        <f>SUBTOTAL(109,Types[Tickets])</f>
        <v>324</v>
      </c>
      <c r="AF28" s="23">
        <f>SUBTOTAL(109,Types[Cost])</f>
        <v>22236</v>
      </c>
    </row>
    <row r="29" spans="2:32" x14ac:dyDescent="0.2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12"/>
      <c r="S29" s="16"/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2.5565951411956793E-6</v>
      </c>
      <c r="U29" cm="1">
        <f t="array" aca="1" ref="U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2.5565951411956793E-6</v>
      </c>
      <c r="V29">
        <f ca="1">_xlfn.RANK.EQ(Games[[#This Row],[Sort]],Games[Sort],1)</f>
        <v>79</v>
      </c>
      <c r="W29" t="str">
        <f>IF(ISNUMBER(Games[[#This Row],[QuadRank]]),_xlfn.RANK.EQ(Games[[#This Row],[QuadSort]],Games[QuadSort],1),"")</f>
        <v/>
      </c>
      <c r="X29" s="5" t="s">
        <v>51</v>
      </c>
      <c r="Y29" s="5"/>
    </row>
    <row r="30" spans="2:32" x14ac:dyDescent="0.2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12"/>
      <c r="S30" s="16"/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8.1219261907653445E-7</v>
      </c>
      <c r="U30" cm="1">
        <f t="array" aca="1" ref="U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8.1219261907653445E-7</v>
      </c>
      <c r="V30">
        <f ca="1">_xlfn.RANK.EQ(Games[[#This Row],[Sort]],Games[Sort],1)</f>
        <v>28</v>
      </c>
      <c r="W30" t="str">
        <f>IF(ISNUMBER(Games[[#This Row],[QuadRank]]),_xlfn.RANK.EQ(Games[[#This Row],[QuadSort]],Games[QuadSort],1),"")</f>
        <v/>
      </c>
      <c r="X30" s="5"/>
      <c r="Y30" s="5"/>
    </row>
    <row r="31" spans="2:32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12"/>
      <c r="S31" s="16"/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4.8467653152877333E-7</v>
      </c>
      <c r="U31" cm="1">
        <f t="array" aca="1" ref="U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4.8467653152877333E-7</v>
      </c>
      <c r="V31">
        <f ca="1">_xlfn.RANK.EQ(Games[[#This Row],[Sort]],Games[Sort],1)</f>
        <v>20</v>
      </c>
      <c r="W31" t="str">
        <f>IF(ISNUMBER(Games[[#This Row],[QuadRank]]),_xlfn.RANK.EQ(Games[[#This Row],[QuadSort]],Games[QuadSort],1),"")</f>
        <v/>
      </c>
      <c r="X31" s="5" t="s">
        <v>52</v>
      </c>
      <c r="Y31" s="5"/>
    </row>
    <row r="32" spans="2:32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12"/>
      <c r="S32" s="16"/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1.106504969018167E-6</v>
      </c>
      <c r="U32" cm="1">
        <f t="array" aca="1" ref="U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1.106504969018167E-6</v>
      </c>
      <c r="V32">
        <f ca="1">_xlfn.RANK.EQ(Games[[#This Row],[Sort]],Games[Sort],1)</f>
        <v>34</v>
      </c>
      <c r="W32" t="str">
        <f>IF(ISNUMBER(Games[[#This Row],[QuadRank]]),_xlfn.RANK.EQ(Games[[#This Row],[QuadSort]],Games[QuadSort],1),"")</f>
        <v/>
      </c>
      <c r="X32" s="5" t="s">
        <v>53</v>
      </c>
      <c r="Y32" s="5"/>
    </row>
    <row r="33" spans="2:25" x14ac:dyDescent="0.2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12"/>
      <c r="S33" s="16"/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3.6551274537836033E-8</v>
      </c>
      <c r="U33" cm="1">
        <f t="array" aca="1" ref="U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3.6551274537836033E-8</v>
      </c>
      <c r="V33">
        <f ca="1">_xlfn.RANK.EQ(Games[[#This Row],[Sort]],Games[Sort],1)</f>
        <v>2</v>
      </c>
      <c r="W33" t="str">
        <f>IF(ISNUMBER(Games[[#This Row],[QuadRank]]),_xlfn.RANK.EQ(Games[[#This Row],[QuadSort]],Games[QuadSort],1),"")</f>
        <v/>
      </c>
      <c r="X33" s="5" t="s">
        <v>54</v>
      </c>
      <c r="Y33" s="5"/>
    </row>
    <row r="34" spans="2:25" x14ac:dyDescent="0.2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12"/>
      <c r="S34" s="16"/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2.8488464423850791E-7</v>
      </c>
      <c r="U34" cm="1">
        <f t="array" aca="1" ref="U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2.8488464423850791E-7</v>
      </c>
      <c r="V34">
        <f ca="1">_xlfn.RANK.EQ(Games[[#This Row],[Sort]],Games[Sort],1)</f>
        <v>12</v>
      </c>
      <c r="W34" t="str">
        <f>IF(ISNUMBER(Games[[#This Row],[QuadRank]]),_xlfn.RANK.EQ(Games[[#This Row],[QuadSort]],Games[QuadSort],1),"")</f>
        <v/>
      </c>
      <c r="X34" s="5"/>
      <c r="Y34" s="5"/>
    </row>
    <row r="35" spans="2:25" x14ac:dyDescent="0.2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12"/>
      <c r="S35" s="16"/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9.0671308172790153E-7</v>
      </c>
      <c r="U35" cm="1">
        <f t="array" aca="1" ref="U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9.0671308172790153E-7</v>
      </c>
      <c r="V35">
        <f ca="1">_xlfn.RANK.EQ(Games[[#This Row],[Sort]],Games[Sort],1)</f>
        <v>30</v>
      </c>
      <c r="W35" t="str">
        <f>IF(ISNUMBER(Games[[#This Row],[QuadRank]]),_xlfn.RANK.EQ(Games[[#This Row],[QuadSort]],Games[QuadSort],1),"")</f>
        <v/>
      </c>
      <c r="X35" s="5"/>
      <c r="Y35" s="5"/>
    </row>
    <row r="36" spans="2:25" x14ac:dyDescent="0.2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12"/>
      <c r="S36" s="16"/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2.576485414644831E-6</v>
      </c>
      <c r="U36" cm="1">
        <f t="array" aca="1" ref="U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2.576485414644831E-6</v>
      </c>
      <c r="V36">
        <f ca="1">_xlfn.RANK.EQ(Games[[#This Row],[Sort]],Games[Sort],1)</f>
        <v>80</v>
      </c>
      <c r="W36" t="str">
        <f>IF(ISNUMBER(Games[[#This Row],[QuadRank]]),_xlfn.RANK.EQ(Games[[#This Row],[QuadSort]],Games[QuadSort],1),"")</f>
        <v/>
      </c>
      <c r="X36" s="5"/>
      <c r="Y36" s="5"/>
    </row>
    <row r="37" spans="2:25" x14ac:dyDescent="0.2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12"/>
      <c r="S37" s="16"/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1.996557049657384E-6</v>
      </c>
      <c r="U37" cm="1">
        <f t="array" aca="1" ref="U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1.996557049657384E-6</v>
      </c>
      <c r="V37">
        <f ca="1">_xlfn.RANK.EQ(Games[[#This Row],[Sort]],Games[Sort],1)</f>
        <v>63</v>
      </c>
      <c r="W37" t="str">
        <f>IF(ISNUMBER(Games[[#This Row],[QuadRank]]),_xlfn.RANK.EQ(Games[[#This Row],[QuadSort]],Games[QuadSort],1),"")</f>
        <v/>
      </c>
      <c r="X37" s="5"/>
      <c r="Y37" s="5"/>
    </row>
    <row r="38" spans="2:25" x14ac:dyDescent="0.2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12"/>
      <c r="S38" s="16"/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4.8208338501926967E-7</v>
      </c>
      <c r="U38" cm="1">
        <f t="array" aca="1" ref="U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4.8208338501926967E-7</v>
      </c>
      <c r="V38">
        <f ca="1">_xlfn.RANK.EQ(Games[[#This Row],[Sort]],Games[Sort],1)</f>
        <v>18</v>
      </c>
      <c r="W38" t="str">
        <f>IF(ISNUMBER(Games[[#This Row],[QuadRank]]),_xlfn.RANK.EQ(Games[[#This Row],[QuadSort]],Games[QuadSort],1),"")</f>
        <v/>
      </c>
      <c r="X38" s="5"/>
      <c r="Y38" s="5"/>
    </row>
    <row r="39" spans="2:25" x14ac:dyDescent="0.2">
      <c r="B39" s="13" t="b">
        <v>0</v>
      </c>
      <c r="C39" t="s">
        <v>28</v>
      </c>
      <c r="D39" s="14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12"/>
      <c r="S39" s="16"/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1.477406890297385E-6</v>
      </c>
      <c r="U39" cm="1">
        <f t="array" aca="1" ref="U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1.477406890297385E-6</v>
      </c>
      <c r="V39">
        <f ca="1">_xlfn.RANK.EQ(Games[[#This Row],[Sort]],Games[Sort],1)</f>
        <v>43</v>
      </c>
      <c r="W39" t="str">
        <f>IF(ISNUMBER(Games[[#This Row],[QuadRank]]),_xlfn.RANK.EQ(Games[[#This Row],[QuadSort]],Games[QuadSort],1),"")</f>
        <v/>
      </c>
      <c r="X39" s="5" t="s">
        <v>55</v>
      </c>
      <c r="Y39" s="5"/>
    </row>
    <row r="40" spans="2:25" x14ac:dyDescent="0.2">
      <c r="B40" s="13" t="b">
        <v>0</v>
      </c>
      <c r="C40" t="s">
        <v>30</v>
      </c>
      <c r="D40" s="14"/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12"/>
      <c r="S40" s="16"/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1.051291432359243E-6</v>
      </c>
      <c r="U40" cm="1">
        <f t="array" aca="1" ref="U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1.051291432359243E-6</v>
      </c>
      <c r="V40">
        <f ca="1">_xlfn.RANK.EQ(Games[[#This Row],[Sort]],Games[Sort],1)</f>
        <v>32</v>
      </c>
      <c r="W40" t="str">
        <f>IF(ISNUMBER(Games[[#This Row],[QuadRank]]),_xlfn.RANK.EQ(Games[[#This Row],[QuadSort]],Games[QuadSort],1),"")</f>
        <v/>
      </c>
      <c r="X40" s="5" t="s">
        <v>52</v>
      </c>
      <c r="Y40" s="5"/>
    </row>
    <row r="41" spans="2:25" x14ac:dyDescent="0.2">
      <c r="B41" s="13" t="b">
        <v>0</v>
      </c>
      <c r="C41" t="s">
        <v>28</v>
      </c>
      <c r="D41" s="14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12"/>
      <c r="S41" s="16"/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1.6731198698486367E-6</v>
      </c>
      <c r="U41" cm="1">
        <f t="array" aca="1" ref="U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1.6731198698486367E-6</v>
      </c>
      <c r="V41">
        <f ca="1">_xlfn.RANK.EQ(Games[[#This Row],[Sort]],Games[Sort],1)</f>
        <v>47</v>
      </c>
      <c r="W41" t="str">
        <f>IF(ISNUMBER(Games[[#This Row],[QuadRank]]),_xlfn.RANK.EQ(Games[[#This Row],[QuadSort]],Games[QuadSort],1),"")</f>
        <v/>
      </c>
      <c r="X41" s="5"/>
      <c r="Y41" s="5"/>
    </row>
    <row r="42" spans="2:25" x14ac:dyDescent="0.2">
      <c r="B42" s="13" t="b">
        <v>0</v>
      </c>
      <c r="C42" t="s">
        <v>30</v>
      </c>
      <c r="D42" s="14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12"/>
      <c r="S42" s="16"/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6.0316617536830572E-7</v>
      </c>
      <c r="U42" cm="1">
        <f t="array" aca="1" ref="U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6.0316617536830572E-7</v>
      </c>
      <c r="V42">
        <f ca="1">_xlfn.RANK.EQ(Games[[#This Row],[Sort]],Games[Sort],1)</f>
        <v>24</v>
      </c>
      <c r="W42" t="str">
        <f>IF(ISNUMBER(Games[[#This Row],[QuadRank]]),_xlfn.RANK.EQ(Games[[#This Row],[QuadSort]],Games[QuadSort],1),"")</f>
        <v/>
      </c>
      <c r="X42" s="5"/>
      <c r="Y42" s="5"/>
    </row>
    <row r="43" spans="2:25" x14ac:dyDescent="0.2">
      <c r="B43" s="13" t="b">
        <v>0</v>
      </c>
      <c r="C43" t="s">
        <v>28</v>
      </c>
      <c r="D43" s="14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12"/>
      <c r="S43" s="16"/>
      <c r="T43" cm="1">
        <f t="array" aca="1" ref="T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1.0631778200909699E-6</v>
      </c>
      <c r="U43" cm="1">
        <f t="array" aca="1" ref="U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1.0631778200909699E-6</v>
      </c>
      <c r="V43">
        <f ca="1">_xlfn.RANK.EQ(Games[[#This Row],[Sort]],Games[Sort],1)</f>
        <v>33</v>
      </c>
      <c r="W43" t="str">
        <f>IF(ISNUMBER(Games[[#This Row],[QuadRank]]),_xlfn.RANK.EQ(Games[[#This Row],[QuadSort]],Games[QuadSort],1),"")</f>
        <v/>
      </c>
      <c r="X43" s="5" t="s">
        <v>56</v>
      </c>
      <c r="Y43" s="5"/>
    </row>
    <row r="44" spans="2:25" x14ac:dyDescent="0.2">
      <c r="B44" s="13" t="b">
        <v>0</v>
      </c>
      <c r="C44" t="s">
        <v>30</v>
      </c>
      <c r="D44" s="14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12"/>
      <c r="S44" s="16"/>
      <c r="T44" cm="1">
        <f t="array" aca="1" ref="T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1.6850062575803636E-6</v>
      </c>
      <c r="U44" cm="1">
        <f t="array" aca="1" ref="U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1.6850062575803636E-6</v>
      </c>
      <c r="V44">
        <f ca="1">_xlfn.RANK.EQ(Games[[#This Row],[Sort]],Games[Sort],1)</f>
        <v>48</v>
      </c>
      <c r="W44" t="str">
        <f>IF(ISNUMBER(Games[[#This Row],[QuadRank]]),_xlfn.RANK.EQ(Games[[#This Row],[QuadSort]],Games[QuadSort],1),"")</f>
        <v/>
      </c>
      <c r="X44" s="5" t="s">
        <v>56</v>
      </c>
      <c r="Y44" s="5"/>
    </row>
    <row r="45" spans="2:25" x14ac:dyDescent="0.2">
      <c r="B45" s="13" t="b">
        <v>0</v>
      </c>
      <c r="C45" t="s">
        <v>28</v>
      </c>
      <c r="D45" s="14"/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12"/>
      <c r="S45" s="16"/>
      <c r="T45" cm="1">
        <f t="array" aca="1" ref="T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1.889371051618906E-7</v>
      </c>
      <c r="U45" cm="1">
        <f t="array" aca="1" ref="U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1.889371051618906E-7</v>
      </c>
      <c r="V45">
        <f ca="1">_xlfn.RANK.EQ(Games[[#This Row],[Sort]],Games[Sort],1)</f>
        <v>8</v>
      </c>
      <c r="W45" t="str">
        <f>IF(ISNUMBER(Games[[#This Row],[QuadRank]]),_xlfn.RANK.EQ(Games[[#This Row],[QuadSort]],Games[QuadSort],1),"")</f>
        <v/>
      </c>
      <c r="X45" s="5" t="s">
        <v>56</v>
      </c>
      <c r="Y45" s="5"/>
    </row>
    <row r="46" spans="2:25" x14ac:dyDescent="0.2">
      <c r="B46" s="13" t="b">
        <v>0</v>
      </c>
      <c r="C46" t="s">
        <v>30</v>
      </c>
      <c r="D46" s="14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12"/>
      <c r="S46" s="16"/>
      <c r="T46" cm="1">
        <f t="array" aca="1" ref="T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1.3631671501247032E-7</v>
      </c>
      <c r="U46" cm="1">
        <f t="array" aca="1" ref="U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1.3631671501247032E-7</v>
      </c>
      <c r="V46">
        <f ca="1">_xlfn.RANK.EQ(Games[[#This Row],[Sort]],Games[Sort],1)</f>
        <v>6</v>
      </c>
      <c r="W46" t="str">
        <f>IF(ISNUMBER(Games[[#This Row],[QuadRank]]),_xlfn.RANK.EQ(Games[[#This Row],[QuadSort]],Games[QuadSort],1),"")</f>
        <v/>
      </c>
      <c r="X46" s="5" t="s">
        <v>52</v>
      </c>
      <c r="Y46" s="5"/>
    </row>
    <row r="47" spans="2:25" x14ac:dyDescent="0.2">
      <c r="B47" s="13" t="b">
        <v>0</v>
      </c>
      <c r="C47" t="s">
        <v>28</v>
      </c>
      <c r="D47" s="14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12"/>
      <c r="S47" s="16"/>
      <c r="T47" cm="1">
        <f t="array" aca="1" ref="T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1.8060890479293996E-6</v>
      </c>
      <c r="U47" cm="1">
        <f t="array" aca="1" ref="U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1.8060890479293996E-6</v>
      </c>
      <c r="V47">
        <f ca="1">_xlfn.RANK.EQ(Games[[#This Row],[Sort]],Games[Sort],1)</f>
        <v>52</v>
      </c>
      <c r="W47" t="str">
        <f>IF(ISNUMBER(Games[[#This Row],[QuadRank]]),_xlfn.RANK.EQ(Games[[#This Row],[QuadSort]],Games[QuadSort],1),"")</f>
        <v/>
      </c>
      <c r="X47" s="5" t="s">
        <v>57</v>
      </c>
      <c r="Y47" s="5"/>
    </row>
    <row r="48" spans="2:25" x14ac:dyDescent="0.2">
      <c r="B48" s="13" t="b">
        <v>0</v>
      </c>
      <c r="C48" t="s">
        <v>30</v>
      </c>
      <c r="D48" s="14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12"/>
      <c r="S48" s="16"/>
      <c r="T48" cm="1">
        <f t="array" aca="1" ref="T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2.2072320485053814E-6</v>
      </c>
      <c r="U48" cm="1">
        <f t="array" aca="1" ref="U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2.2072320485053814E-6</v>
      </c>
      <c r="V48">
        <f ca="1">_xlfn.RANK.EQ(Games[[#This Row],[Sort]],Games[Sort],1)</f>
        <v>70</v>
      </c>
      <c r="W48" t="str">
        <f>IF(ISNUMBER(Games[[#This Row],[QuadRank]]),_xlfn.RANK.EQ(Games[[#This Row],[QuadSort]],Games[QuadSort],1),"")</f>
        <v/>
      </c>
      <c r="X48" s="5"/>
      <c r="Y48" s="5"/>
    </row>
    <row r="49" spans="2:25" x14ac:dyDescent="0.2">
      <c r="B49" s="13" t="b">
        <v>0</v>
      </c>
      <c r="C49" t="s">
        <v>28</v>
      </c>
      <c r="D49" s="14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12"/>
      <c r="S49" s="16"/>
      <c r="T49" cm="1">
        <f t="array" aca="1" ref="T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1.8295846082117052E-6</v>
      </c>
      <c r="U49" cm="1">
        <f t="array" aca="1" ref="U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1.8295846082117052E-6</v>
      </c>
      <c r="V49">
        <f ca="1">_xlfn.RANK.EQ(Games[[#This Row],[Sort]],Games[Sort],1)</f>
        <v>53</v>
      </c>
      <c r="W49" t="str">
        <f>IF(ISNUMBER(Games[[#This Row],[QuadRank]]),_xlfn.RANK.EQ(Games[[#This Row],[QuadSort]],Games[QuadSort],1),"")</f>
        <v/>
      </c>
      <c r="X49" s="5" t="s">
        <v>52</v>
      </c>
      <c r="Y49" s="5"/>
    </row>
    <row r="50" spans="2:25" x14ac:dyDescent="0.2">
      <c r="B50" s="13" t="b">
        <v>0</v>
      </c>
      <c r="C50" t="s">
        <v>30</v>
      </c>
      <c r="D50" s="14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12"/>
      <c r="S50" s="16"/>
      <c r="T50" cm="1">
        <f t="array" aca="1" ref="T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4.8413878077105305E-7</v>
      </c>
      <c r="U50" cm="1">
        <f t="array" aca="1" ref="U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4.8413878077105305E-7</v>
      </c>
      <c r="V50">
        <f ca="1">_xlfn.RANK.EQ(Games[[#This Row],[Sort]],Games[Sort],1)</f>
        <v>19</v>
      </c>
      <c r="W50" t="str">
        <f>IF(ISNUMBER(Games[[#This Row],[QuadRank]]),_xlfn.RANK.EQ(Games[[#This Row],[QuadSort]],Games[QuadSort],1),"")</f>
        <v/>
      </c>
      <c r="X50" s="5"/>
      <c r="Y50" s="5"/>
    </row>
    <row r="51" spans="2:25" x14ac:dyDescent="0.2">
      <c r="B51" s="13" t="b">
        <v>0</v>
      </c>
      <c r="C51" t="s">
        <v>30</v>
      </c>
      <c r="D51" s="14"/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12"/>
      <c r="S51" s="16"/>
      <c r="T51" cm="1">
        <f t="array" aca="1" ref="T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1.3814593512207678E-6</v>
      </c>
      <c r="U51" cm="1">
        <f t="array" aca="1" ref="U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1.3814593512207678E-6</v>
      </c>
      <c r="V51">
        <f ca="1">_xlfn.RANK.EQ(Games[[#This Row],[Sort]],Games[Sort],1)</f>
        <v>42</v>
      </c>
      <c r="W51" t="str">
        <f>IF(ISNUMBER(Games[[#This Row],[QuadRank]]),_xlfn.RANK.EQ(Games[[#This Row],[QuadSort]],Games[QuadSort],1),"")</f>
        <v/>
      </c>
      <c r="X51" s="5" t="s">
        <v>58</v>
      </c>
      <c r="Y51" s="5"/>
    </row>
    <row r="52" spans="2:25" x14ac:dyDescent="0.2">
      <c r="B52" s="13" t="b">
        <v>1</v>
      </c>
      <c r="C52" t="s">
        <v>30</v>
      </c>
      <c r="D52" s="14">
        <v>1</v>
      </c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12"/>
      <c r="S52" s="16"/>
      <c r="T52" cm="1">
        <f t="array" aca="1" ref="T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1.6297927209214396E-6</v>
      </c>
      <c r="U52" cm="1">
        <f t="array" aca="1" ref="U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1.6297927209214396E-6</v>
      </c>
      <c r="V52">
        <f ca="1">_xlfn.RANK.EQ(Games[[#This Row],[Sort]],Games[Sort],1)</f>
        <v>45</v>
      </c>
      <c r="W52" t="str">
        <f>IF(ISNUMBER(Games[[#This Row],[QuadRank]]),_xlfn.RANK.EQ(Games[[#This Row],[QuadSort]],Games[QuadSort],1),"")</f>
        <v/>
      </c>
      <c r="X52" s="5"/>
      <c r="Y52" s="5"/>
    </row>
    <row r="53" spans="2:25" x14ac:dyDescent="0.2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12"/>
      <c r="S53" s="16"/>
      <c r="T53" cm="1">
        <f t="array" aca="1" ref="T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2.2516211584108335E-6</v>
      </c>
      <c r="U53" cm="1">
        <f t="array" aca="1" ref="U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2.2516211584108335E-6</v>
      </c>
      <c r="V53">
        <f ca="1">_xlfn.RANK.EQ(Games[[#This Row],[Sort]],Games[Sort],1)</f>
        <v>72</v>
      </c>
      <c r="W53" t="str">
        <f>IF(ISNUMBER(Games[[#This Row],[QuadRank]]),_xlfn.RANK.EQ(Games[[#This Row],[QuadSort]],Games[QuadSort],1),"")</f>
        <v/>
      </c>
      <c r="X53" s="5"/>
      <c r="Y53" s="5"/>
    </row>
    <row r="54" spans="2:25" x14ac:dyDescent="0.2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12"/>
      <c r="S54" s="16"/>
      <c r="T54" cm="1">
        <f t="array" aca="1" ref="T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1.1816674639305024E-6</v>
      </c>
      <c r="U54" cm="1">
        <f t="array" aca="1" ref="U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1.1816674639305024E-6</v>
      </c>
      <c r="V54">
        <f ca="1">_xlfn.RANK.EQ(Games[[#This Row],[Sort]],Games[Sort],1)</f>
        <v>38</v>
      </c>
      <c r="W54" t="str">
        <f>IF(ISNUMBER(Games[[#This Row],[QuadRank]]),_xlfn.RANK.EQ(Games[[#This Row],[QuadSort]],Games[QuadSort],1),"")</f>
        <v/>
      </c>
      <c r="X54" s="5"/>
      <c r="Y54" s="5"/>
    </row>
    <row r="55" spans="2:25" x14ac:dyDescent="0.2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12"/>
      <c r="S55" s="16"/>
      <c r="T55" cm="1">
        <f t="array" aca="1" ref="T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1.7970254874392731E-7</v>
      </c>
      <c r="U55" cm="1">
        <f t="array" aca="1" ref="U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1.7970254874392731E-7</v>
      </c>
      <c r="V55">
        <f ca="1">_xlfn.RANK.EQ(Games[[#This Row],[Sort]],Games[Sort],1)</f>
        <v>7</v>
      </c>
      <c r="W55" t="str">
        <f>IF(ISNUMBER(Games[[#This Row],[QuadRank]]),_xlfn.RANK.EQ(Games[[#This Row],[QuadSort]],Games[QuadSort],1),"")</f>
        <v/>
      </c>
      <c r="X55" s="5" t="s">
        <v>59</v>
      </c>
      <c r="Y55" s="5"/>
    </row>
    <row r="56" spans="2:25" x14ac:dyDescent="0.2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12"/>
      <c r="S56" s="16"/>
      <c r="T56" cm="1">
        <f t="array" aca="1" ref="T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1.8494748816608567E-6</v>
      </c>
      <c r="U56" cm="1">
        <f t="array" aca="1" ref="U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1.8494748816608567E-6</v>
      </c>
      <c r="V56">
        <f ca="1">_xlfn.RANK.EQ(Games[[#This Row],[Sort]],Games[Sort],1)</f>
        <v>55</v>
      </c>
      <c r="W56" t="str">
        <f>IF(ISNUMBER(Games[[#This Row],[QuadRank]]),_xlfn.RANK.EQ(Games[[#This Row],[QuadSort]],Games[QuadSort],1),"")</f>
        <v/>
      </c>
      <c r="X56" s="5" t="s">
        <v>60</v>
      </c>
      <c r="Y56" s="5"/>
    </row>
    <row r="57" spans="2:25" x14ac:dyDescent="0.2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12"/>
      <c r="S57" s="16"/>
      <c r="T57" cm="1">
        <f t="array" aca="1" ref="T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2.4713033191502503E-6</v>
      </c>
      <c r="U57" cm="1">
        <f t="array" aca="1" ref="U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2.4713033191502503E-6</v>
      </c>
      <c r="V57">
        <f ca="1">_xlfn.RANK.EQ(Games[[#This Row],[Sort]],Games[Sort],1)</f>
        <v>76</v>
      </c>
      <c r="W57" t="str">
        <f>IF(ISNUMBER(Games[[#This Row],[QuadRank]]),_xlfn.RANK.EQ(Games[[#This Row],[QuadSort]],Games[QuadSort],1),"")</f>
        <v/>
      </c>
      <c r="X57" s="5"/>
      <c r="Y57" s="5"/>
    </row>
    <row r="58" spans="2:25" x14ac:dyDescent="0.2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12"/>
      <c r="S58" s="16"/>
      <c r="T58" cm="1">
        <f t="array" aca="1" ref="T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6.0173909894305551E-7</v>
      </c>
      <c r="U58" cm="1">
        <f t="array" aca="1" ref="U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6.0173909894305551E-7</v>
      </c>
      <c r="V58">
        <f ca="1">_xlfn.RANK.EQ(Games[[#This Row],[Sort]],Games[Sort],1)</f>
        <v>23</v>
      </c>
      <c r="W58" t="str">
        <f>IF(ISNUMBER(Games[[#This Row],[QuadRank]]),_xlfn.RANK.EQ(Games[[#This Row],[QuadSort]],Games[QuadSort],1),"")</f>
        <v/>
      </c>
      <c r="X58" s="5"/>
      <c r="Y58" s="5"/>
    </row>
    <row r="59" spans="2:25" x14ac:dyDescent="0.2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12"/>
      <c r="S59" s="16"/>
      <c r="T59" cm="1">
        <f t="array" aca="1" ref="T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1.2235675364324491E-6</v>
      </c>
      <c r="U59" cm="1">
        <f t="array" aca="1" ref="U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1.2235675364324491E-6</v>
      </c>
      <c r="V59">
        <f ca="1">_xlfn.RANK.EQ(Games[[#This Row],[Sort]],Games[Sort],1)</f>
        <v>40</v>
      </c>
      <c r="W59" t="str">
        <f>IF(ISNUMBER(Games[[#This Row],[QuadRank]]),_xlfn.RANK.EQ(Games[[#This Row],[QuadSort]],Games[QuadSort],1),"")</f>
        <v/>
      </c>
      <c r="X59" s="5"/>
      <c r="Y59" s="5"/>
    </row>
    <row r="60" spans="2:25" x14ac:dyDescent="0.2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12"/>
      <c r="S60" s="16"/>
      <c r="T60" cm="1">
        <f t="array" aca="1" ref="T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8.2588939583056588E-8</v>
      </c>
      <c r="U60" cm="1">
        <f t="array" aca="1" ref="U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8.2588939583056588E-8</v>
      </c>
      <c r="V60">
        <f ca="1">_xlfn.RANK.EQ(Games[[#This Row],[Sort]],Games[Sort],1)</f>
        <v>4</v>
      </c>
      <c r="W60" t="str">
        <f>IF(ISNUMBER(Games[[#This Row],[QuadRank]]),_xlfn.RANK.EQ(Games[[#This Row],[QuadSort]],Games[QuadSort],1),"")</f>
        <v/>
      </c>
      <c r="X60" s="5"/>
      <c r="Y60" s="5"/>
    </row>
    <row r="61" spans="2:25" x14ac:dyDescent="0.2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12"/>
      <c r="S61" s="16"/>
      <c r="T61" cm="1">
        <f t="array" aca="1" ref="T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2.3961995090421749E-6</v>
      </c>
      <c r="U61" cm="1">
        <f t="array" aca="1" ref="U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2.3961995090421749E-6</v>
      </c>
      <c r="V61">
        <f ca="1">_xlfn.RANK.EQ(Games[[#This Row],[Sort]],Games[Sort],1)</f>
        <v>74</v>
      </c>
      <c r="W61" t="str">
        <f>IF(ISNUMBER(Games[[#This Row],[QuadRank]]),_xlfn.RANK.EQ(Games[[#This Row],[QuadSort]],Games[QuadSort],1),"")</f>
        <v/>
      </c>
      <c r="X61" s="5"/>
      <c r="Y61" s="5"/>
    </row>
    <row r="62" spans="2:25" x14ac:dyDescent="0.2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12"/>
      <c r="S62" s="16"/>
      <c r="T62" cm="1">
        <f t="array" aca="1" ref="T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3.4109367861425225E-7</v>
      </c>
      <c r="U62" cm="1">
        <f t="array" aca="1" ref="U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3.4109367861425225E-7</v>
      </c>
      <c r="V62">
        <f ca="1">_xlfn.RANK.EQ(Games[[#This Row],[Sort]],Games[Sort],1)</f>
        <v>17</v>
      </c>
      <c r="W62" t="str">
        <f>IF(ISNUMBER(Games[[#This Row],[QuadRank]]),_xlfn.RANK.EQ(Games[[#This Row],[QuadSort]],Games[QuadSort],1),"")</f>
        <v/>
      </c>
      <c r="X62" s="5" t="s">
        <v>27</v>
      </c>
      <c r="Y62" s="5"/>
    </row>
    <row r="63" spans="2:25" x14ac:dyDescent="0.2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12"/>
      <c r="S63" s="16"/>
      <c r="T63" cm="1">
        <f t="array" aca="1" ref="T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1.9480742520512377E-6</v>
      </c>
      <c r="U63" cm="1">
        <f t="array" aca="1" ref="U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1.9480742520512377E-6</v>
      </c>
      <c r="V63">
        <f ca="1">_xlfn.RANK.EQ(Games[[#This Row],[Sort]],Games[Sort],1)</f>
        <v>61</v>
      </c>
      <c r="W63" t="str">
        <f>IF(ISNUMBER(Games[[#This Row],[QuadRank]]),_xlfn.RANK.EQ(Games[[#This Row],[QuadSort]],Games[QuadSort],1),"")</f>
        <v/>
      </c>
      <c r="X63" s="5" t="s">
        <v>61</v>
      </c>
      <c r="Y63" s="5"/>
    </row>
    <row r="64" spans="2:25" x14ac:dyDescent="0.2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12"/>
      <c r="S64" s="16"/>
      <c r="T64" cm="1">
        <f t="array" aca="1" ref="T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7.4631744957439701E-7</v>
      </c>
      <c r="U64" cm="1">
        <f t="array" aca="1" ref="U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7.4631744957439701E-7</v>
      </c>
      <c r="V64">
        <f ca="1">_xlfn.RANK.EQ(Games[[#This Row],[Sort]],Games[Sort],1)</f>
        <v>26</v>
      </c>
      <c r="W64" t="str">
        <f>IF(ISNUMBER(Games[[#This Row],[QuadRank]]),_xlfn.RANK.EQ(Games[[#This Row],[QuadSort]],Games[QuadSort],1),"")</f>
        <v/>
      </c>
      <c r="X64" s="5" t="s">
        <v>52</v>
      </c>
      <c r="Y64" s="5"/>
    </row>
    <row r="65" spans="10:25" x14ac:dyDescent="0.2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12"/>
      <c r="S65" s="16"/>
      <c r="T65" cm="1">
        <f t="array" aca="1" ref="T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2.0425947147026048E-6</v>
      </c>
      <c r="U65" cm="1">
        <f t="array" aca="1" ref="U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2.0425947147026048E-6</v>
      </c>
      <c r="V65">
        <f ca="1">_xlfn.RANK.EQ(Games[[#This Row],[Sort]],Games[Sort],1)</f>
        <v>66</v>
      </c>
      <c r="W65" t="str">
        <f>IF(ISNUMBER(Games[[#This Row],[QuadRank]]),_xlfn.RANK.EQ(Games[[#This Row],[QuadSort]],Games[QuadSort],1),"")</f>
        <v/>
      </c>
      <c r="X65" s="5"/>
      <c r="Y65" s="5"/>
    </row>
    <row r="66" spans="10:25" x14ac:dyDescent="0.2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12"/>
      <c r="S66" s="16"/>
      <c r="T66" cm="1">
        <f t="array" aca="1" ref="T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2.981921925834597E-7</v>
      </c>
      <c r="U66" cm="1">
        <f t="array" aca="1" ref="U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2.981921925834597E-7</v>
      </c>
      <c r="V66">
        <f ca="1">_xlfn.RANK.EQ(Games[[#This Row],[Sort]],Games[Sort],1)</f>
        <v>13</v>
      </c>
      <c r="W66" t="str">
        <f>IF(ISNUMBER(Games[[#This Row],[QuadRank]]),_xlfn.RANK.EQ(Games[[#This Row],[QuadSort]],Games[QuadSort],1),"")</f>
        <v/>
      </c>
      <c r="X66" s="5" t="s">
        <v>62</v>
      </c>
      <c r="Y66" s="5"/>
    </row>
    <row r="67" spans="10:25" x14ac:dyDescent="0.2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12"/>
      <c r="S67" s="16"/>
      <c r="T67" cm="1">
        <f t="array" aca="1" ref="T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5.4652556228413154E-7</v>
      </c>
      <c r="U67" cm="1">
        <f t="array" aca="1" ref="U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5.4652556228413154E-7</v>
      </c>
      <c r="V67">
        <f ca="1">_xlfn.RANK.EQ(Games[[#This Row],[Sort]],Games[Sort],1)</f>
        <v>21</v>
      </c>
      <c r="W67" t="str">
        <f>IF(ISNUMBER(Games[[#This Row],[QuadRank]]),_xlfn.RANK.EQ(Games[[#This Row],[QuadSort]],Games[QuadSort],1),"")</f>
        <v/>
      </c>
      <c r="X67" s="5" t="s">
        <v>63</v>
      </c>
      <c r="Y67" s="5"/>
    </row>
    <row r="68" spans="10:25" x14ac:dyDescent="0.2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12"/>
      <c r="S68" s="16"/>
      <c r="T68" cm="1">
        <f t="array" aca="1" ref="T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1.1683539997735253E-6</v>
      </c>
      <c r="U68" cm="1">
        <f t="array" aca="1" ref="U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1.1683539997735253E-6</v>
      </c>
      <c r="V68">
        <f ca="1">_xlfn.RANK.EQ(Games[[#This Row],[Sort]],Games[Sort],1)</f>
        <v>36</v>
      </c>
      <c r="W68" t="str">
        <f>IF(ISNUMBER(Games[[#This Row],[QuadRank]]),_xlfn.RANK.EQ(Games[[#This Row],[QuadSort]],Games[QuadSort],1),"")</f>
        <v/>
      </c>
      <c r="X68" s="5"/>
      <c r="Y68" s="5"/>
    </row>
    <row r="69" spans="10:25" x14ac:dyDescent="0.2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12"/>
      <c r="S69" s="16"/>
      <c r="T69" cm="1">
        <f t="array" aca="1" ref="T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2.7375402924132673E-8</v>
      </c>
      <c r="U69" cm="1">
        <f t="array" aca="1" ref="U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2.7375402924132673E-8</v>
      </c>
      <c r="V69">
        <f ca="1">_xlfn.RANK.EQ(Games[[#This Row],[Sort]],Games[Sort],1)</f>
        <v>1</v>
      </c>
      <c r="W69" t="str">
        <f>IF(ISNUMBER(Games[[#This Row],[QuadRank]]),_xlfn.RANK.EQ(Games[[#This Row],[QuadSort]],Games[QuadSort],1),"")</f>
        <v/>
      </c>
      <c r="X69" s="5"/>
      <c r="Y69" s="5"/>
    </row>
    <row r="70" spans="10:25" x14ac:dyDescent="0.2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12"/>
      <c r="S70" s="16"/>
      <c r="T70" cm="1">
        <f t="array" aca="1" ref="T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1.8887818076532998E-6</v>
      </c>
      <c r="U70" cm="1">
        <f t="array" aca="1" ref="U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1.8887818076532998E-6</v>
      </c>
      <c r="V70">
        <f ca="1">_xlfn.RANK.EQ(Games[[#This Row],[Sort]],Games[Sort],1)</f>
        <v>57</v>
      </c>
      <c r="W70" t="str">
        <f>IF(ISNUMBER(Games[[#This Row],[QuadRank]]),_xlfn.RANK.EQ(Games[[#This Row],[QuadSort]],Games[QuadSort],1),"")</f>
        <v/>
      </c>
      <c r="X70" s="5"/>
      <c r="Y70" s="5"/>
    </row>
    <row r="71" spans="10:25" x14ac:dyDescent="0.2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12"/>
      <c r="S71" s="16"/>
      <c r="T71" cm="1">
        <f t="array" aca="1" ref="T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1.8361614175038796E-6</v>
      </c>
      <c r="U71" cm="1">
        <f t="array" aca="1" ref="U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1.8361614175038796E-6</v>
      </c>
      <c r="V71">
        <f ca="1">_xlfn.RANK.EQ(Games[[#This Row],[Sort]],Games[Sort],1)</f>
        <v>54</v>
      </c>
      <c r="W71" t="str">
        <f>IF(ISNUMBER(Games[[#This Row],[QuadRank]]),_xlfn.RANK.EQ(Games[[#This Row],[QuadSort]],Games[QuadSort],1),"")</f>
        <v/>
      </c>
      <c r="X71" s="5" t="s">
        <v>64</v>
      </c>
      <c r="Y71" s="5"/>
    </row>
    <row r="72" spans="10:25" x14ac:dyDescent="0.2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12"/>
      <c r="S72" s="16"/>
      <c r="T72" cm="1">
        <f t="array" aca="1" ref="T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9.9613658050457902E-7</v>
      </c>
      <c r="U72" cm="1">
        <f t="array" aca="1" ref="U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9.9613658050457902E-7</v>
      </c>
      <c r="V72">
        <f ca="1">_xlfn.RANK.EQ(Games[[#This Row],[Sort]],Games[Sort],1)</f>
        <v>31</v>
      </c>
      <c r="W72" t="str">
        <f>IF(ISNUMBER(Games[[#This Row],[QuadRank]]),_xlfn.RANK.EQ(Games[[#This Row],[QuadSort]],Games[QuadSort],1),"")</f>
        <v/>
      </c>
      <c r="X72" s="5" t="s">
        <v>65</v>
      </c>
      <c r="Y72" s="5"/>
    </row>
    <row r="73" spans="10:25" x14ac:dyDescent="0.2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12"/>
      <c r="S73" s="16"/>
      <c r="T73" cm="1">
        <f t="array" aca="1" ref="T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1.9914600857826943E-6</v>
      </c>
      <c r="U73" cm="1">
        <f t="array" aca="1" ref="U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1.9914600857826943E-6</v>
      </c>
      <c r="V73">
        <f ca="1">_xlfn.RANK.EQ(Games[[#This Row],[Sort]],Games[Sort],1)</f>
        <v>62</v>
      </c>
      <c r="W73" t="str">
        <f>IF(ISNUMBER(Games[[#This Row],[QuadRank]]),_xlfn.RANK.EQ(Games[[#This Row],[QuadSort]],Games[QuadSort],1),"")</f>
        <v/>
      </c>
      <c r="X73" s="5" t="s">
        <v>66</v>
      </c>
      <c r="Y73" s="5"/>
    </row>
    <row r="74" spans="10:25" x14ac:dyDescent="0.2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12"/>
      <c r="S74" s="16"/>
      <c r="T74" cm="1">
        <f t="array" aca="1" ref="T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1.2189586557549974E-7</v>
      </c>
      <c r="U74" cm="1">
        <f t="array" aca="1" ref="U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1.2189586557549974E-7</v>
      </c>
      <c r="V74">
        <f ca="1">_xlfn.RANK.EQ(Games[[#This Row],[Sort]],Games[Sort],1)</f>
        <v>5</v>
      </c>
      <c r="W74" t="str">
        <f>IF(ISNUMBER(Games[[#This Row],[QuadRank]]),_xlfn.RANK.EQ(Games[[#This Row],[QuadSort]],Games[QuadSort],1),"")</f>
        <v/>
      </c>
      <c r="X74" s="5" t="s">
        <v>67</v>
      </c>
      <c r="Y74" s="5"/>
    </row>
    <row r="75" spans="10:25" x14ac:dyDescent="0.2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12"/>
      <c r="S75" s="16"/>
      <c r="T75" cm="1">
        <f t="array" aca="1" ref="T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7.4372430306489335E-7</v>
      </c>
      <c r="U75" cm="1">
        <f t="array" aca="1" ref="U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7.4372430306489335E-7</v>
      </c>
      <c r="V75">
        <f ca="1">_xlfn.RANK.EQ(Games[[#This Row],[Sort]],Games[Sort],1)</f>
        <v>25</v>
      </c>
      <c r="W75" t="str">
        <f>IF(ISNUMBER(Games[[#This Row],[QuadRank]]),_xlfn.RANK.EQ(Games[[#This Row],[QuadSort]],Games[QuadSort],1),"")</f>
        <v/>
      </c>
      <c r="X75" s="5" t="s">
        <v>67</v>
      </c>
      <c r="Y75" s="5"/>
    </row>
    <row r="76" spans="10:25" x14ac:dyDescent="0.2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12"/>
      <c r="S76" s="16"/>
      <c r="T76" cm="1">
        <f t="array" aca="1" ref="T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1.7390478083430087E-6</v>
      </c>
      <c r="U76" cm="1">
        <f t="array" aca="1" ref="U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1.7390478083430087E-6</v>
      </c>
      <c r="V76">
        <f ca="1">_xlfn.RANK.EQ(Games[[#This Row],[Sort]],Games[Sort],1)</f>
        <v>50</v>
      </c>
      <c r="W76" t="str">
        <f>IF(ISNUMBER(Games[[#This Row],[QuadRank]]),_xlfn.RANK.EQ(Games[[#This Row],[QuadSort]],Games[QuadSort],1),"")</f>
        <v/>
      </c>
      <c r="X76" s="5" t="s">
        <v>67</v>
      </c>
      <c r="Y76" s="5"/>
    </row>
    <row r="77" spans="10:25" x14ac:dyDescent="0.2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12"/>
      <c r="S77" s="16"/>
      <c r="T77" cm="1">
        <f t="array" aca="1" ref="T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1.2117398335049821E-6</v>
      </c>
      <c r="U77" cm="1">
        <f t="array" aca="1" ref="U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1.2117398335049821E-6</v>
      </c>
      <c r="V77">
        <f ca="1">_xlfn.RANK.EQ(Games[[#This Row],[Sort]],Games[Sort],1)</f>
        <v>39</v>
      </c>
      <c r="W77" t="str">
        <f>IF(ISNUMBER(Games[[#This Row],[QuadRank]]),_xlfn.RANK.EQ(Games[[#This Row],[QuadSort]],Games[QuadSort],1),"")</f>
        <v/>
      </c>
      <c r="X77" s="5"/>
      <c r="Y77" s="5"/>
    </row>
    <row r="78" spans="10:25" x14ac:dyDescent="0.2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12"/>
      <c r="S78" s="16"/>
      <c r="T78" cm="1">
        <f t="array" aca="1" ref="T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1.1591194433555619E-6</v>
      </c>
      <c r="U78" cm="1">
        <f t="array" aca="1" ref="U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1.1591194433555619E-6</v>
      </c>
      <c r="V78">
        <f ca="1">_xlfn.RANK.EQ(Games[[#This Row],[Sort]],Games[Sort],1)</f>
        <v>35</v>
      </c>
      <c r="W78" t="str">
        <f>IF(ISNUMBER(Games[[#This Row],[QuadRank]]),_xlfn.RANK.EQ(Games[[#This Row],[QuadSort]],Games[QuadSort],1),"")</f>
        <v/>
      </c>
      <c r="X78" s="5"/>
      <c r="Y78" s="5"/>
    </row>
    <row r="79" spans="10:25" x14ac:dyDescent="0.2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12"/>
      <c r="S79" s="16"/>
      <c r="T79" cm="1">
        <f t="array" aca="1" ref="T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2.4553967084837695E-6</v>
      </c>
      <c r="U79" cm="1">
        <f t="array" aca="1" ref="U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2.4553967084837695E-6</v>
      </c>
      <c r="V79">
        <f ca="1">_xlfn.RANK.EQ(Games[[#This Row],[Sort]],Games[Sort],1)</f>
        <v>75</v>
      </c>
      <c r="W79" t="str">
        <f>IF(ISNUMBER(Games[[#This Row],[QuadRank]]),_xlfn.RANK.EQ(Games[[#This Row],[QuadSort]],Games[QuadSort],1),"")</f>
        <v/>
      </c>
      <c r="X79" s="5"/>
      <c r="Y79" s="5"/>
    </row>
    <row r="80" spans="10:25" x14ac:dyDescent="0.2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12"/>
      <c r="S80" s="16"/>
      <c r="T80" cm="1">
        <f t="array" aca="1" ref="T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2.6647421620684129E-7</v>
      </c>
      <c r="U80" cm="1">
        <f t="array" aca="1" ref="U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2.6647421620684129E-7</v>
      </c>
      <c r="V80">
        <f ca="1">_xlfn.RANK.EQ(Games[[#This Row],[Sort]],Games[Sort],1)</f>
        <v>11</v>
      </c>
      <c r="W80" t="str">
        <f>IF(ISNUMBER(Games[[#This Row],[QuadRank]]),_xlfn.RANK.EQ(Games[[#This Row],[QuadSort]],Games[QuadSort],1),"")</f>
        <v/>
      </c>
      <c r="X80" s="5" t="s">
        <v>52</v>
      </c>
      <c r="Y80" s="5"/>
    </row>
    <row r="81" spans="10:25" x14ac:dyDescent="0.2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12"/>
      <c r="S81" s="16"/>
      <c r="T81" cm="1">
        <f t="array" aca="1" ref="T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1.5627514813350487E-6</v>
      </c>
      <c r="U81" cm="1">
        <f t="array" aca="1" ref="U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1.5627514813350487E-6</v>
      </c>
      <c r="V81">
        <f ca="1">_xlfn.RANK.EQ(Games[[#This Row],[Sort]],Games[Sort],1)</f>
        <v>44</v>
      </c>
      <c r="W81" t="str">
        <f>IF(ISNUMBER(Games[[#This Row],[QuadRank]]),_xlfn.RANK.EQ(Games[[#This Row],[QuadSort]],Games[QuadSort],1),"")</f>
        <v/>
      </c>
      <c r="X81" s="5" t="s">
        <v>68</v>
      </c>
      <c r="Y81" s="5"/>
    </row>
    <row r="82" spans="10:25" x14ac:dyDescent="0.2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12"/>
      <c r="S82" s="16"/>
      <c r="T82" cm="1">
        <f t="array" aca="1" ref="T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3.1051166508704015E-7</v>
      </c>
      <c r="U82" cm="1">
        <f t="array" aca="1" ref="U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3.1051166508704015E-7</v>
      </c>
      <c r="V82">
        <f ca="1">_xlfn.RANK.EQ(Games[[#This Row],[Sort]],Games[Sort],1)</f>
        <v>15</v>
      </c>
      <c r="W82" t="str">
        <f>IF(ISNUMBER(Games[[#This Row],[QuadRank]]),_xlfn.RANK.EQ(Games[[#This Row],[QuadSort]],Games[QuadSort],1),"")</f>
        <v/>
      </c>
      <c r="X82" s="5"/>
      <c r="Y82" s="5"/>
    </row>
  </sheetData>
  <phoneticPr fontId="0" type="noConversion"/>
  <conditionalFormatting sqref="AE18:AE19">
    <cfRule type="cellIs" dxfId="0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2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3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4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5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6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7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8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2026-09-21T22:43:40Z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