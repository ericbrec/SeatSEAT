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45F6BA6B-3C53-4CEB-9A92-1AEAD0F5A9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W20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W69" i="1" l="1"/>
  <c r="W70" i="1"/>
  <c r="W78" i="1"/>
  <c r="W46" i="1"/>
  <c r="W7" i="1"/>
  <c r="W68" i="1"/>
  <c r="W12" i="1"/>
  <c r="W61" i="1"/>
  <c r="W77" i="1"/>
  <c r="W36" i="1"/>
  <c r="W76" i="1"/>
  <c r="W28" i="1"/>
  <c r="W30" i="1"/>
  <c r="W6" i="1"/>
  <c r="W62" i="1"/>
  <c r="W4" i="1"/>
  <c r="W60" i="1"/>
  <c r="W44" i="1"/>
  <c r="W54" i="1"/>
  <c r="W52" i="1"/>
  <c r="W53" i="1"/>
  <c r="W45" i="1"/>
  <c r="W37" i="1"/>
  <c r="W29" i="1"/>
  <c r="W21" i="1"/>
  <c r="W13" i="1"/>
  <c r="W5" i="1"/>
  <c r="W67" i="1"/>
  <c r="W51" i="1"/>
  <c r="W27" i="1"/>
  <c r="W82" i="1"/>
  <c r="W74" i="1"/>
  <c r="W66" i="1"/>
  <c r="W58" i="1"/>
  <c r="W50" i="1"/>
  <c r="W42" i="1"/>
  <c r="W34" i="1"/>
  <c r="W26" i="1"/>
  <c r="W18" i="1"/>
  <c r="W10" i="1"/>
  <c r="W2" i="1"/>
  <c r="W81" i="1"/>
  <c r="W73" i="1"/>
  <c r="W65" i="1"/>
  <c r="W57" i="1"/>
  <c r="W49" i="1"/>
  <c r="W41" i="1"/>
  <c r="W33" i="1"/>
  <c r="W25" i="1"/>
  <c r="W17" i="1"/>
  <c r="W9" i="1"/>
  <c r="W80" i="1"/>
  <c r="W72" i="1"/>
  <c r="W64" i="1"/>
  <c r="W56" i="1"/>
  <c r="W48" i="1"/>
  <c r="W40" i="1"/>
  <c r="W32" i="1"/>
  <c r="W24" i="1"/>
  <c r="W16" i="1"/>
  <c r="W8" i="1"/>
  <c r="W75" i="1"/>
  <c r="W59" i="1"/>
  <c r="W43" i="1"/>
  <c r="W35" i="1"/>
  <c r="W19" i="1"/>
  <c r="W11" i="1"/>
  <c r="W3" i="1"/>
  <c r="W79" i="1"/>
  <c r="W71" i="1"/>
  <c r="W63" i="1"/>
  <c r="W55" i="1"/>
  <c r="W47" i="1"/>
  <c r="W39" i="1"/>
  <c r="W31" i="1"/>
  <c r="W23" i="1"/>
  <c r="W15" i="1"/>
  <c r="W38" i="1"/>
  <c r="W22" i="1"/>
  <c r="W14" i="1"/>
  <c r="Q79" i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<sst xmlns="http://schemas.openxmlformats.org/spreadsheetml/2006/main" count="273" uniqueCount="99">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</sst>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>
        <v>1</v>
      </c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2.073040506993867E-6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1.000002073040507</v>
      </c>
      <c r="V2">
        <f ca="1">_xlfn.RANK.EQ(Games[[#This Row],[Sort]],Games[Sort],1)</f>
        <v>63</v>
      </c>
      <c r="W2">
        <f ca="1">IF(ISNUMBER(Games[[#This Row],[QuadRank]]),_xlfn.RANK.EQ(Games[[#This Row],[QuadSort]],Games[QuadSort],1),"")</f>
        <v>1</v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>
        <v>2</v>
      </c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9.2946830562838957E-7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2.0000009294683054</v>
      </c>
      <c r="V3">
        <f ca="1">_xlfn.RANK.EQ(Games[[#This Row],[Sort]],Games[Sort],1)</f>
        <v>30</v>
      </c>
      <c r="W3">
        <f ca="1">IF(ISNUMBER(Games[[#This Row],[QuadRank]]),_xlfn.RANK.EQ(Games[[#This Row],[QuadSort]],Games[QuadSort],1),"")</f>
        <v>2</v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>
        <v>3</v>
      </c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1.100844499489216E-6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3.0000011008444996</v>
      </c>
      <c r="V4">
        <f ca="1">_xlfn.RANK.EQ(Games[[#This Row],[Sort]],Games[Sort],1)</f>
        <v>36</v>
      </c>
      <c r="W4">
        <f ca="1">IF(ISNUMBER(Games[[#This Row],[QuadRank]]),_xlfn.RANK.EQ(Games[[#This Row],[QuadSort]],Games[QuadSort],1),"")</f>
        <v>3</v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>
        <v>4</v>
      </c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8.9858234477267687E-7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4.0000008985823445</v>
      </c>
      <c r="V5">
        <f ca="1">_xlfn.RANK.EQ(Games[[#This Row],[Sort]],Games[Sort],1)</f>
        <v>28</v>
      </c>
      <c r="W5">
        <f ca="1">IF(ISNUMBER(Games[[#This Row],[QuadRank]]),_xlfn.RANK.EQ(Games[[#This Row],[QuadSort]],Games[QuadSort],1),"")</f>
        <v>4</v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>
        <v>5</v>
      </c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9.2478862274693296E-7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5.0000009247886226</v>
      </c>
      <c r="V6">
        <f ca="1">_xlfn.RANK.EQ(Games[[#This Row],[Sort]],Games[Sort],1)</f>
        <v>29</v>
      </c>
      <c r="W6">
        <f ca="1">IF(ISNUMBER(Games[[#This Row],[QuadRank]]),_xlfn.RANK.EQ(Games[[#This Row],[QuadSort]],Games[QuadSort],1),"")</f>
        <v>5</v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>
        <v>6</v>
      </c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3.6980118219778965E-7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6.0000003698011826</v>
      </c>
      <c r="V7">
        <f ca="1">_xlfn.RANK.EQ(Games[[#This Row],[Sort]],Games[Sort],1)</f>
        <v>9</v>
      </c>
      <c r="W7">
        <f ca="1">IF(ISNUMBER(Games[[#This Row],[QuadRank]]),_xlfn.RANK.EQ(Games[[#This Row],[QuadSort]],Games[QuadSort],1),"")</f>
        <v>6</v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>
        <v>7</v>
      </c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9.750737496077607E-7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7.0000009750737497</v>
      </c>
      <c r="V8">
        <f ca="1">_xlfn.RANK.EQ(Games[[#This Row],[Sort]],Games[Sort],1)</f>
        <v>31</v>
      </c>
      <c r="W8">
        <f ca="1">IF(ISNUMBER(Games[[#This Row],[QuadRank]]),_xlfn.RANK.EQ(Games[[#This Row],[QuadSort]],Games[QuadSort],1),"")</f>
        <v>7</v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>
        <v>8</v>
      </c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1.2332978358568801E-6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8.0000012332978354</v>
      </c>
      <c r="V9">
        <f ca="1">_xlfn.RANK.EQ(Games[[#This Row],[Sort]],Games[Sort],1)</f>
        <v>42</v>
      </c>
      <c r="W9">
        <f ca="1">IF(ISNUMBER(Games[[#This Row],[QuadRank]]),_xlfn.RANK.EQ(Games[[#This Row],[QuadSort]],Games[QuadSort],1),"")</f>
        <v>8</v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>
        <v>9</v>
      </c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6.7831039530773686E-7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9.0000006783103945</v>
      </c>
      <c r="V10">
        <f ca="1">_xlfn.RANK.EQ(Games[[#This Row],[Sort]],Games[Sort],1)</f>
        <v>19</v>
      </c>
      <c r="W10">
        <f ca="1">IF(ISNUMBER(Games[[#This Row],[QuadRank]]),_xlfn.RANK.EQ(Games[[#This Row],[QuadSort]],Games[QuadSort],1),"")</f>
        <v>9</v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>
        <v>10</v>
      </c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1.2835829627177079E-6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10.000001283582963</v>
      </c>
      <c r="V11">
        <f ca="1">_xlfn.RANK.EQ(Games[[#This Row],[Sort]],Games[Sort],1)</f>
        <v>43</v>
      </c>
      <c r="W11">
        <f ca="1">IF(ISNUMBER(Games[[#This Row],[QuadRank]]),_xlfn.RANK.EQ(Games[[#This Row],[QuadSort]],Games[QuadSort],1),"")</f>
        <v>10</v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>
        <v>11</v>
      </c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7.2859552216856449E-7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11.000000728595522</v>
      </c>
      <c r="V12">
        <f ca="1">_xlfn.RANK.EQ(Games[[#This Row],[Sort]],Games[Sort],1)</f>
        <v>21</v>
      </c>
      <c r="W12">
        <f ca="1">IF(ISNUMBER(Games[[#This Row],[QuadRank]]),_xlfn.RANK.EQ(Games[[#This Row],[QuadSort]],Games[QuadSort],1),"")</f>
        <v>11</v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>
        <v>12</v>
      </c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8.8111779410136894E-8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12.000000088111779</v>
      </c>
      <c r="V13">
        <f ca="1">_xlfn.RANK.EQ(Games[[#This Row],[Sort]],Games[Sort],1)</f>
        <v>3</v>
      </c>
      <c r="W13">
        <f ca="1">IF(ISNUMBER(Games[[#This Row],[QuadRank]]),_xlfn.RANK.EQ(Games[[#This Row],[QuadSort]],Games[QuadSort],1),"")</f>
        <v>12</v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>
        <v>13</v>
      </c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2.6645632498986916E-6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13.000002664563249</v>
      </c>
      <c r="V14">
        <f ca="1">_xlfn.RANK.EQ(Games[[#This Row],[Sort]],Games[Sort],1)</f>
        <v>77</v>
      </c>
      <c r="W14">
        <f ca="1">IF(ISNUMBER(Games[[#This Row],[QuadRank]]),_xlfn.RANK.EQ(Games[[#This Row],[QuadSort]],Games[QuadSort],1),"")</f>
        <v>13</v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>
        <v>14</v>
      </c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1.0723159106269683E-6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14.000001072315911</v>
      </c>
      <c r="V15">
        <f ca="1">_xlfn.RANK.EQ(Games[[#This Row],[Sort]],Games[Sort],1)</f>
        <v>35</v>
      </c>
      <c r="W15">
        <f ca="1">IF(ISNUMBER(Games[[#This Row],[QuadRank]]),_xlfn.RANK.EQ(Games[[#This Row],[QuadSort]],Games[QuadSort],1),"")</f>
        <v>14</v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>
        <v>15</v>
      </c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2.0967944895159708E-6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15.000002096794489</v>
      </c>
      <c r="V16">
        <f ca="1">_xlfn.RANK.EQ(Games[[#This Row],[Sort]],Games[Sort],1)</f>
        <v>65</v>
      </c>
      <c r="W16">
        <f ca="1">IF(ISNUMBER(Games[[#This Row],[QuadRank]]),_xlfn.RANK.EQ(Games[[#This Row],[QuadSort]],Games[QuadSort],1),"")</f>
        <v>15</v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>
        <v>16</v>
      </c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1.5418070489668275E-6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16.000001541807048</v>
      </c>
      <c r="V17">
        <f ca="1">_xlfn.RANK.EQ(Games[[#This Row],[Sort]],Games[Sort],1)</f>
        <v>46</v>
      </c>
      <c r="W17">
        <f ca="1">IF(ISNUMBER(Games[[#This Row],[QuadRank]]),_xlfn.RANK.EQ(Games[[#This Row],[QuadSort]],Games[QuadSort],1),"")</f>
        <v>16</v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>
        <v>17</v>
      </c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2.1470796163767983E-6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17.000002147079616</v>
      </c>
      <c r="V18">
        <f ca="1">_xlfn.RANK.EQ(Games[[#This Row],[Sort]],Games[Sort],1)</f>
        <v>68</v>
      </c>
      <c r="W18">
        <f ca="1">IF(ISNUMBER(Games[[#This Row],[QuadRank]]),_xlfn.RANK.EQ(Games[[#This Row],[QuadSort]],Games[QuadSort],1),"")</f>
        <v>17</v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>
        <v>18</v>
      </c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2.5271485585158004E-6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18.00000252714856</v>
      </c>
      <c r="V19">
        <f ca="1">_xlfn.RANK.EQ(Games[[#This Row],[Sort]],Games[Sort],1)</f>
        <v>73</v>
      </c>
      <c r="W19">
        <f ca="1">IF(ISNUMBER(Games[[#This Row],[QuadRank]]),_xlfn.RANK.EQ(Games[[#This Row],[QuadSort]],Games[QuadSort],1),"")</f>
        <v>18</v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>
        <v>19</v>
      </c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1.8503162620767747E-6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19.000001850316263</v>
      </c>
      <c r="V20">
        <f ca="1">_xlfn.RANK.EQ(Games[[#This Row],[Sort]],Games[Sort],1)</f>
        <v>56</v>
      </c>
      <c r="W20">
        <f ca="1">IF(ISNUMBER(Games[[#This Row],[QuadRank]]),_xlfn.RANK.EQ(Games[[#This Row],[QuadSort]],Games[QuadSort],1),"")</f>
        <v>19</v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>
        <v>20</v>
      </c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2.4555888294867457E-6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20.000002455588831</v>
      </c>
      <c r="V21">
        <f ca="1">_xlfn.RANK.EQ(Games[[#This Row],[Sort]],Games[Sort],1)</f>
        <v>71</v>
      </c>
      <c r="W21">
        <f ca="1">IF(ISNUMBER(Games[[#This Row],[QuadRank]]),_xlfn.RANK.EQ(Games[[#This Row],[QuadSort]],Games[QuadSort],1),"")</f>
        <v>20</v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>
        <v>21</v>
      </c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7.4034138097848791E-7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21.000000740341381</v>
      </c>
      <c r="V22">
        <f ca="1">_xlfn.RANK.EQ(Games[[#This Row],[Sort]],Games[Sort],1)</f>
        <v>22</v>
      </c>
      <c r="W22">
        <f ca="1">IF(ISNUMBER(Games[[#This Row],[QuadRank]]),_xlfn.RANK.EQ(Games[[#This Row],[QuadSort]],Games[QuadSort],1),"")</f>
        <v>21</v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>
        <v>22</v>
      </c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1.8535394042934456E-7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22.00000018535394</v>
      </c>
      <c r="V23">
        <f ca="1">_xlfn.RANK.EQ(Games[[#This Row],[Sort]],Games[Sort],1)</f>
        <v>6</v>
      </c>
      <c r="W23">
        <f ca="1">IF(ISNUMBER(Games[[#This Row],[QuadRank]]),_xlfn.RANK.EQ(Games[[#This Row],[QuadSort]],Games[QuadSort],1),"")</f>
        <v>22</v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>
        <v>23</v>
      </c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7.9062650783931554E-7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23.000000790626508</v>
      </c>
      <c r="V24">
        <f ca="1">_xlfn.RANK.EQ(Games[[#This Row],[Sort]],Games[Sort],1)</f>
        <v>25</v>
      </c>
      <c r="W24">
        <f ca="1">IF(ISNUMBER(Games[[#This Row],[QuadRank]]),_xlfn.RANK.EQ(Games[[#This Row],[QuadSort]],Games[QuadSort],1),"")</f>
        <v>23</v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>
        <v>24</v>
      </c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1.0488505940884353E-6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24.000001048850596</v>
      </c>
      <c r="V25">
        <f ca="1">_xlfn.RANK.EQ(Games[[#This Row],[Sort]],Games[Sort],1)</f>
        <v>34</v>
      </c>
      <c r="W25">
        <f ca="1">IF(ISNUMBER(Games[[#This Row],[QuadRank]]),_xlfn.RANK.EQ(Games[[#This Row],[QuadSort]],Games[QuadSort],1),"")</f>
        <v>24</v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>
        <v>25</v>
      </c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2.6913830602209864E-6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25.00000269138306</v>
      </c>
      <c r="V26">
        <f ca="1">_xlfn.RANK.EQ(Games[[#This Row],[Sort]],Games[Sort],1)</f>
        <v>80</v>
      </c>
      <c r="W26">
        <f ca="1">IF(ISNUMBER(Games[[#This Row],[QuadRank]]),_xlfn.RANK.EQ(Games[[#This Row],[QuadSort]],Games[QuadSort],1),"")</f>
        <v>25</v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>
        <v>26</v>
      </c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2.0974080218640094E-6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26.000002097408021</v>
      </c>
      <c r="V27">
        <f ca="1">_xlfn.RANK.EQ(Games[[#This Row],[Sort]],Games[Sort],1)</f>
        <v>66</v>
      </c>
      <c r="W27">
        <f ca="1">IF(ISNUMBER(Games[[#This Row],[QuadRank]]),_xlfn.RANK.EQ(Games[[#This Row],[QuadSort]],Games[QuadSort],1),"")</f>
        <v>26</v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>
        <v>27</v>
      </c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3.1780727679700885E-7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27.000000317807277</v>
      </c>
      <c r="V28">
        <f ca="1">_xlfn.RANK.EQ(Games[[#This Row],[Sort]],Games[Sort],1)</f>
        <v>7</v>
      </c>
      <c r="W28">
        <f ca="1">IF(ISNUMBER(Games[[#This Row],[QuadRank]]),_xlfn.RANK.EQ(Games[[#This Row],[QuadSort]],Games[QuadSort],1),"")</f>
        <v>27</v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>
        <v>28</v>
      </c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2.5025458636451259E-6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28.000002502545865</v>
      </c>
      <c r="V29">
        <f ca="1">_xlfn.RANK.EQ(Games[[#This Row],[Sort]],Games[Sort],1)</f>
        <v>72</v>
      </c>
      <c r="W29">
        <f ca="1">IF(ISNUMBER(Games[[#This Row],[QuadRank]]),_xlfn.RANK.EQ(Games[[#This Row],[QuadSort]],Games[QuadSort],1),"")</f>
        <v>28</v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>
        <v>29</v>
      </c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3.6809240365783648E-7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29.000000368092405</v>
      </c>
      <c r="V30">
        <f ca="1">_xlfn.RANK.EQ(Games[[#This Row],[Sort]],Games[Sort],1)</f>
        <v>8</v>
      </c>
      <c r="W30">
        <f ca="1">IF(ISNUMBER(Games[[#This Row],[QuadRank]]),_xlfn.RANK.EQ(Games[[#This Row],[QuadSort]],Games[QuadSort],1),"")</f>
        <v>29</v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>
        <v>30</v>
      </c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4.8853761631332028E-7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30.000000488537616</v>
      </c>
      <c r="V31">
        <f ca="1">_xlfn.RANK.EQ(Games[[#This Row],[Sort]],Games[Sort],1)</f>
        <v>11</v>
      </c>
      <c r="W31">
        <f ca="1">IF(ISNUMBER(Games[[#This Row],[QuadRank]]),_xlfn.RANK.EQ(Games[[#This Row],[QuadSort]],Games[QuadSort],1),"")</f>
        <v>30</v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>
        <v>31</v>
      </c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2.6732762031614373E-6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31.000002673276203</v>
      </c>
      <c r="V32">
        <f ca="1">_xlfn.RANK.EQ(Games[[#This Row],[Sort]],Games[Sort],1)</f>
        <v>78</v>
      </c>
      <c r="W32">
        <f ca="1">IF(ISNUMBER(Games[[#This Row],[QuadRank]]),_xlfn.RANK.EQ(Games[[#This Row],[QuadSort]],Games[QuadSort],1),"")</f>
        <v>31</v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>
        <v>32</v>
      </c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6.7660161676778364E-7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32.000000676601616</v>
      </c>
      <c r="V33">
        <f ca="1">_xlfn.RANK.EQ(Games[[#This Row],[Sort]],Games[Sort],1)</f>
        <v>18</v>
      </c>
      <c r="W33">
        <f ca="1">IF(ISNUMBER(Games[[#This Row],[QuadRank]]),_xlfn.RANK.EQ(Games[[#This Row],[QuadSort]],Games[QuadSort],1),"")</f>
        <v>32</v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>
        <v>33</v>
      </c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1.7010801956567863E-6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33.000001701080194</v>
      </c>
      <c r="V34">
        <f ca="1">_xlfn.RANK.EQ(Games[[#This Row],[Sort]],Games[Sort],1)</f>
        <v>50</v>
      </c>
      <c r="W34">
        <f ca="1">IF(ISNUMBER(Games[[#This Row],[QuadRank]]),_xlfn.RANK.EQ(Games[[#This Row],[QuadSort]],Games[QuadSort],1),"")</f>
        <v>33</v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>
        <v>34</v>
      </c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1.1460927551076429E-6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34.000001146092757</v>
      </c>
      <c r="V35">
        <f ca="1">_xlfn.RANK.EQ(Games[[#This Row],[Sort]],Games[Sort],1)</f>
        <v>39</v>
      </c>
      <c r="W35">
        <f ca="1">IF(ISNUMBER(Games[[#This Row],[QuadRank]]),_xlfn.RANK.EQ(Games[[#This Row],[QuadSort]],Games[QuadSort],1),"")</f>
        <v>34</v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>
        <v>35</v>
      </c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1.8891441961112496E-6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35.000001889144194</v>
      </c>
      <c r="V36">
        <f ca="1">_xlfn.RANK.EQ(Games[[#This Row],[Sort]],Games[Sort],1)</f>
        <v>57</v>
      </c>
      <c r="W36">
        <f ca="1">IF(ISNUMBER(Games[[#This Row],[QuadRank]]),_xlfn.RANK.EQ(Games[[#This Row],[QuadSort]],Games[QuadSort],1),"")</f>
        <v>35</v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>
        <v>36</v>
      </c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2.5293656739674202E-6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36.000002529365673</v>
      </c>
      <c r="V37">
        <f ca="1">_xlfn.RANK.EQ(Games[[#This Row],[Sort]],Games[Sort],1)</f>
        <v>74</v>
      </c>
      <c r="W37">
        <f ca="1">IF(ISNUMBER(Games[[#This Row],[QuadRank]]),_xlfn.RANK.EQ(Games[[#This Row],[QuadSort]],Games[QuadSort],1),"")</f>
        <v>36</v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>
        <v>37</v>
      </c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1.6857121037702038E-7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37.000000168571212</v>
      </c>
      <c r="V38">
        <f ca="1">_xlfn.RANK.EQ(Games[[#This Row],[Sort]],Games[Sort],1)</f>
        <v>5</v>
      </c>
      <c r="W38">
        <f ca="1">IF(ISNUMBER(Games[[#This Row],[QuadRank]]),_xlfn.RANK.EQ(Games[[#This Row],[QuadSort]],Games[QuadSort],1),"")</f>
        <v>37</v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>
        <v>38</v>
      </c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7.7384377778699132E-7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38.00000077384378</v>
      </c>
      <c r="V39">
        <f ca="1">_xlfn.RANK.EQ(Games[[#This Row],[Sort]],Games[Sort],1)</f>
        <v>24</v>
      </c>
      <c r="W39">
        <f ca="1">IF(ISNUMBER(Games[[#This Row],[QuadRank]]),_xlfn.RANK.EQ(Games[[#This Row],[QuadSort]],Games[QuadSort],1),"")</f>
        <v>38</v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>
        <v>39</v>
      </c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1.6605434830823582E-6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39.000001660543482</v>
      </c>
      <c r="V40">
        <f ca="1">_xlfn.RANK.EQ(Games[[#This Row],[Sort]],Games[Sort],1)</f>
        <v>48</v>
      </c>
      <c r="W40">
        <f ca="1">IF(ISNUMBER(Games[[#This Row],[QuadRank]]),_xlfn.RANK.EQ(Games[[#This Row],[QuadSort]],Games[QuadSort],1),"")</f>
        <v>39</v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>
        <v>40</v>
      </c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1.1055560425332147E-6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40.000001105556045</v>
      </c>
      <c r="V41">
        <f ca="1">_xlfn.RANK.EQ(Games[[#This Row],[Sort]],Games[Sort],1)</f>
        <v>37</v>
      </c>
      <c r="W41">
        <f ca="1">IF(ISNUMBER(Games[[#This Row],[QuadRank]]),_xlfn.RANK.EQ(Games[[#This Row],[QuadSort]],Games[QuadSort],1),"")</f>
        <v>40</v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>
        <v>41</v>
      </c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1.8486074835368214E-6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41.000001848607482</v>
      </c>
      <c r="V42">
        <f ca="1">_xlfn.RANK.EQ(Games[[#This Row],[Sort]],Games[Sort],1)</f>
        <v>55</v>
      </c>
      <c r="W42">
        <f ca="1">IF(ISNUMBER(Games[[#This Row],[QuadRank]]),_xlfn.RANK.EQ(Games[[#This Row],[QuadSort]],Games[QuadSort],1),"")</f>
        <v>41</v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>
        <v>42</v>
      </c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6.044338253160862E-7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42.000000604433822</v>
      </c>
      <c r="V43">
        <f ca="1">_xlfn.RANK.EQ(Games[[#This Row],[Sort]],Games[Sort],1)</f>
        <v>15</v>
      </c>
      <c r="W43">
        <f ca="1">IF(ISNUMBER(Games[[#This Row],[QuadRank]]),_xlfn.RANK.EQ(Games[[#This Row],[QuadSort]],Games[QuadSort],1),"")</f>
        <v>42</v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>
        <v>43</v>
      </c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4.9446384766942834E-8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43.000000049446385</v>
      </c>
      <c r="V44">
        <f ca="1">_xlfn.RANK.EQ(Games[[#This Row],[Sort]],Games[Sort],1)</f>
        <v>1</v>
      </c>
      <c r="W44">
        <f ca="1">IF(ISNUMBER(Games[[#This Row],[QuadRank]]),_xlfn.RANK.EQ(Games[[#This Row],[QuadSort]],Games[QuadSort],1),"")</f>
        <v>43</v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>
        <v>44</v>
      </c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1.6791975310659163E-6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44.000001679197531</v>
      </c>
      <c r="V45">
        <f ca="1">_xlfn.RANK.EQ(Games[[#This Row],[Sort]],Games[Sort],1)</f>
        <v>49</v>
      </c>
      <c r="W45">
        <f ca="1">IF(ISNUMBER(Games[[#This Row],[QuadRank]]),_xlfn.RANK.EQ(Games[[#This Row],[QuadSort]],Games[QuadSort],1),"")</f>
        <v>44</v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>
        <v>45</v>
      </c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9.8643121692313731E-7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45.000000986431218</v>
      </c>
      <c r="V46">
        <f ca="1">_xlfn.RANK.EQ(Games[[#This Row],[Sort]],Games[Sort],1)</f>
        <v>32</v>
      </c>
      <c r="W46">
        <f ca="1">IF(ISNUMBER(Games[[#This Row],[QuadRank]]),_xlfn.RANK.EQ(Games[[#This Row],[QuadSort]],Games[QuadSort],1),"")</f>
        <v>45</v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>
        <v>46</v>
      </c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1.729482657926744E-6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46.000001729482655</v>
      </c>
      <c r="V47">
        <f ca="1">_xlfn.RANK.EQ(Games[[#This Row],[Sort]],Games[Sort],1)</f>
        <v>51</v>
      </c>
      <c r="W47">
        <f ca="1">IF(ISNUMBER(Games[[#This Row],[QuadRank]]),_xlfn.RANK.EQ(Games[[#This Row],[QuadSort]],Games[QuadSort],1),"")</f>
        <v>46</v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>
        <v>47</v>
      </c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1.2302944985256619E-6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47.000001230294501</v>
      </c>
      <c r="V48">
        <f ca="1">_xlfn.RANK.EQ(Games[[#This Row],[Sort]],Games[Sort],1)</f>
        <v>41</v>
      </c>
      <c r="W48">
        <f ca="1">IF(ISNUMBER(Games[[#This Row],[QuadRank]]),_xlfn.RANK.EQ(Games[[#This Row],[QuadSort]],Games[QuadSort],1),"")</f>
        <v>47</v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>
        <v>48</v>
      </c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5.6389711274165815E-7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48.00000056389711</v>
      </c>
      <c r="V49">
        <f ca="1">_xlfn.RANK.EQ(Games[[#This Row],[Sort]],Games[Sort],1)</f>
        <v>13</v>
      </c>
      <c r="W49">
        <f ca="1">IF(ISNUMBER(Games[[#This Row],[QuadRank]]),_xlfn.RANK.EQ(Games[[#This Row],[QuadSort]],Games[QuadSort],1),"")</f>
        <v>48</v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>
        <v>49</v>
      </c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2.0872257165100475E-6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49.000002087225717</v>
      </c>
      <c r="V50">
        <f ca="1">_xlfn.RANK.EQ(Games[[#This Row],[Sort]],Games[Sort],1)</f>
        <v>64</v>
      </c>
      <c r="W50">
        <f ca="1">IF(ISNUMBER(Games[[#This Row],[QuadRank]]),_xlfn.RANK.EQ(Games[[#This Row],[QuadSort]],Games[QuadSort],1),"")</f>
        <v>49</v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>
        <v>50</v>
      </c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7.5196111319612151E-7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50.00000075196111</v>
      </c>
      <c r="V51">
        <f ca="1">_xlfn.RANK.EQ(Games[[#This Row],[Sort]],Games[Sort],1)</f>
        <v>23</v>
      </c>
      <c r="W51">
        <f ca="1">IF(ISNUMBER(Games[[#This Row],[QuadRank]]),_xlfn.RANK.EQ(Games[[#This Row],[QuadSort]],Games[QuadSort],1),"")</f>
        <v>50</v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>
        <v>51</v>
      </c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1.7764396920851241E-6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51.000001776439689</v>
      </c>
      <c r="V52">
        <f ca="1">_xlfn.RANK.EQ(Games[[#This Row],[Sort]],Games[Sort],1)</f>
        <v>54</v>
      </c>
      <c r="W52">
        <f ca="1">IF(ISNUMBER(Games[[#This Row],[QuadRank]]),_xlfn.RANK.EQ(Games[[#This Row],[QuadSort]],Games[QuadSort],1),"")</f>
        <v>51</v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>
        <v>52</v>
      </c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1.2214522515359806E-6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52.000001221452251</v>
      </c>
      <c r="V53">
        <f ca="1">_xlfn.RANK.EQ(Games[[#This Row],[Sort]],Games[Sort],1)</f>
        <v>40</v>
      </c>
      <c r="W53">
        <f ca="1">IF(ISNUMBER(Games[[#This Row],[QuadRank]]),_xlfn.RANK.EQ(Games[[#This Row],[QuadSort]],Games[QuadSort],1),"")</f>
        <v>52</v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>
        <v>53</v>
      </c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1.9645036925395874E-6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53.000001964503696</v>
      </c>
      <c r="V54">
        <f ca="1">_xlfn.RANK.EQ(Games[[#This Row],[Sort]],Games[Sort],1)</f>
        <v>60</v>
      </c>
      <c r="W54">
        <f ca="1">IF(ISNUMBER(Games[[#This Row],[QuadRank]]),_xlfn.RANK.EQ(Games[[#This Row],[QuadSort]],Games[QuadSort],1),"")</f>
        <v>53</v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>
        <v>54</v>
      </c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1.9471700316014353E-6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54.000001947170034</v>
      </c>
      <c r="V55">
        <f ca="1">_xlfn.RANK.EQ(Games[[#This Row],[Sort]],Games[Sort],1)</f>
        <v>59</v>
      </c>
      <c r="W55">
        <f ca="1">IF(ISNUMBER(Games[[#This Row],[QuadRank]]),_xlfn.RANK.EQ(Games[[#This Row],[QuadSort]],Games[QuadSort],1),"")</f>
        <v>54</v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>
        <v>55</v>
      </c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2.6902214726050425E-6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55.000002690221471</v>
      </c>
      <c r="V56">
        <f ca="1">_xlfn.RANK.EQ(Games[[#This Row],[Sort]],Games[Sort],1)</f>
        <v>79</v>
      </c>
      <c r="W56">
        <f ca="1">IF(ISNUMBER(Games[[#This Row],[QuadRank]]),_xlfn.RANK.EQ(Games[[#This Row],[QuadSort]],Games[QuadSort],1),"")</f>
        <v>55</v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>
        <v>56</v>
      </c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2.1352340320558988E-6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56.000002135234034</v>
      </c>
      <c r="V57">
        <f ca="1">_xlfn.RANK.EQ(Games[[#This Row],[Sort]],Games[Sort],1)</f>
        <v>67</v>
      </c>
      <c r="W57">
        <f ca="1">IF(ISNUMBER(Games[[#This Row],[QuadRank]]),_xlfn.RANK.EQ(Games[[#This Row],[QuadSort]],Games[QuadSort],1),"")</f>
        <v>56</v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>
        <v>57</v>
      </c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2.6047251703957582E-6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57.000002604725168</v>
      </c>
      <c r="V58">
        <f ca="1">_xlfn.RANK.EQ(Games[[#This Row],[Sort]],Games[Sort],1)</f>
        <v>76</v>
      </c>
      <c r="W58">
        <f ca="1">IF(ISNUMBER(Games[[#This Row],[QuadRank]]),_xlfn.RANK.EQ(Games[[#This Row],[QuadSort]],Games[QuadSort],1),"")</f>
        <v>57</v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>
        <v>58</v>
      </c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2.0497377298466145E-6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58.000002049737731</v>
      </c>
      <c r="V59">
        <f ca="1">_xlfn.RANK.EQ(Games[[#This Row],[Sort]],Games[Sort],1)</f>
        <v>62</v>
      </c>
      <c r="W59">
        <f ca="1">IF(ISNUMBER(Games[[#This Row],[QuadRank]]),_xlfn.RANK.EQ(Games[[#This Row],[QuadSort]],Games[QuadSort],1),"")</f>
        <v>58</v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>
        <v>59</v>
      </c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8.4920327421532919E-7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59.000000849203275</v>
      </c>
      <c r="V60">
        <f ca="1">_xlfn.RANK.EQ(Games[[#This Row],[Sort]],Games[Sort],1)</f>
        <v>26</v>
      </c>
      <c r="W60">
        <f ca="1">IF(ISNUMBER(Games[[#This Row],[QuadRank]]),_xlfn.RANK.EQ(Games[[#This Row],[QuadSort]],Games[QuadSort],1),"")</f>
        <v>59</v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>
        <v>60</v>
      </c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1.7359029795106959E-6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60.000001735902977</v>
      </c>
      <c r="V61">
        <f ca="1">_xlfn.RANK.EQ(Games[[#This Row],[Sort]],Games[Sort],1)</f>
        <v>52</v>
      </c>
      <c r="W61">
        <f ca="1">IF(ISNUMBER(Games[[#This Row],[QuadRank]]),_xlfn.RANK.EQ(Games[[#This Row],[QuadSort]],Games[QuadSort],1),"")</f>
        <v>60</v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>
        <v>61</v>
      </c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1.2935954471412179E-6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61.000001293595446</v>
      </c>
      <c r="V62">
        <f ca="1">_xlfn.RANK.EQ(Games[[#This Row],[Sort]],Games[Sort],1)</f>
        <v>44</v>
      </c>
      <c r="W62">
        <f ca="1">IF(ISNUMBER(Games[[#This Row],[QuadRank]]),_xlfn.RANK.EQ(Games[[#This Row],[QuadSort]],Games[QuadSort],1),"")</f>
        <v>61</v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>
        <v>62</v>
      </c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1.9239669799651592E-6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62.000001923966977</v>
      </c>
      <c r="V63">
        <f ca="1">_xlfn.RANK.EQ(Games[[#This Row],[Sort]],Games[Sort],1)</f>
        <v>58</v>
      </c>
      <c r="W63">
        <f ca="1">IF(ISNUMBER(Games[[#This Row],[QuadRank]]),_xlfn.RANK.EQ(Games[[#This Row],[QuadSort]],Games[QuadSort],1),"")</f>
        <v>62</v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>
        <v>63</v>
      </c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3.7944987097321309E-7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63.000000379449872</v>
      </c>
      <c r="V64">
        <f ca="1">_xlfn.RANK.EQ(Games[[#This Row],[Sort]],Games[Sort],1)</f>
        <v>10</v>
      </c>
      <c r="W64">
        <f ca="1">IF(ISNUMBER(Games[[#This Row],[QuadRank]]),_xlfn.RANK.EQ(Games[[#This Row],[QuadSort]],Games[QuadSort],1),"")</f>
        <v>63</v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>
        <v>64</v>
      </c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2.7019673314149656E-6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64.000002701967333</v>
      </c>
      <c r="V65">
        <f ca="1">_xlfn.RANK.EQ(Games[[#This Row],[Sort]],Games[Sort],1)</f>
        <v>81</v>
      </c>
      <c r="W65">
        <f ca="1">IF(ISNUMBER(Games[[#This Row],[QuadRank]]),_xlfn.RANK.EQ(Games[[#This Row],[QuadSort]],Games[QuadSort],1),"")</f>
        <v>64</v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>
        <v>65</v>
      </c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5.6751387142767645E-7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65.000000567513865</v>
      </c>
      <c r="V66">
        <f ca="1">_xlfn.RANK.EQ(Games[[#This Row],[Sort]],Games[Sort],1)</f>
        <v>14</v>
      </c>
      <c r="W66">
        <f ca="1">IF(ISNUMBER(Games[[#This Row],[QuadRank]]),_xlfn.RANK.EQ(Games[[#This Row],[QuadSort]],Games[QuadSort],1),"")</f>
        <v>65</v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>
        <v>66</v>
      </c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1.591992450316679E-6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66.000001591992444</v>
      </c>
      <c r="V67">
        <f ca="1">_xlfn.RANK.EQ(Games[[#This Row],[Sort]],Games[Sort],1)</f>
        <v>47</v>
      </c>
      <c r="W67">
        <f ca="1">IF(ISNUMBER(Games[[#This Row],[QuadRank]]),_xlfn.RANK.EQ(Games[[#This Row],[QuadSort]],Games[QuadSort],1),"")</f>
        <v>66</v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>
        <v>67</v>
      </c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1.0370050097675356E-6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67.000001037005006</v>
      </c>
      <c r="V68">
        <f ca="1">_xlfn.RANK.EQ(Games[[#This Row],[Sort]],Games[Sort],1)</f>
        <v>33</v>
      </c>
      <c r="W68">
        <f ca="1">IF(ISNUMBER(Games[[#This Row],[QuadRank]]),_xlfn.RANK.EQ(Games[[#This Row],[QuadSort]],Games[QuadSort],1),"")</f>
        <v>67</v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>
        <v>68</v>
      </c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2.5761965815335103E-6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68.000002576196579</v>
      </c>
      <c r="V69">
        <f ca="1">_xlfn.RANK.EQ(Games[[#This Row],[Sort]],Games[Sort],1)</f>
        <v>75</v>
      </c>
      <c r="W69">
        <f ca="1">IF(ISNUMBER(Games[[#This Row],[QuadRank]]),_xlfn.RANK.EQ(Games[[#This Row],[QuadSort]],Games[QuadSort],1),"")</f>
        <v>68</v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>
        <v>69</v>
      </c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2.4554891039757697E-6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69.00000245548911</v>
      </c>
      <c r="V70">
        <f ca="1">_xlfn.RANK.EQ(Games[[#This Row],[Sort]],Games[Sort],1)</f>
        <v>70</v>
      </c>
      <c r="W70">
        <f ca="1">IF(ISNUMBER(Games[[#This Row],[QuadRank]]),_xlfn.RANK.EQ(Games[[#This Row],[QuadSort]],Games[QuadSort],1),"")</f>
        <v>69</v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>
        <v>70</v>
      </c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1.7627227898329905E-6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70.000001762722789</v>
      </c>
      <c r="V71">
        <f ca="1">_xlfn.RANK.EQ(Games[[#This Row],[Sort]],Games[Sort],1)</f>
        <v>53</v>
      </c>
      <c r="W71">
        <f ca="1">IF(ISNUMBER(Games[[#This Row],[QuadRank]]),_xlfn.RANK.EQ(Games[[#This Row],[QuadSort]],Games[QuadSort],1),"")</f>
        <v>70</v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>
        <v>71</v>
      </c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2.2794332272334868E-6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71.000002279433232</v>
      </c>
      <c r="V72">
        <f ca="1">_xlfn.RANK.EQ(Games[[#This Row],[Sort]],Games[Sort],1)</f>
        <v>69</v>
      </c>
      <c r="W72">
        <f ca="1">IF(ISNUMBER(Games[[#This Row],[QuadRank]]),_xlfn.RANK.EQ(Games[[#This Row],[QuadSort]],Games[QuadSort],1),"")</f>
        <v>71</v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>
        <v>72</v>
      </c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1.4497976724619735E-7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72.000000144979765</v>
      </c>
      <c r="V73">
        <f ca="1">_xlfn.RANK.EQ(Games[[#This Row],[Sort]],Games[Sort],1)</f>
        <v>4</v>
      </c>
      <c r="W73">
        <f ca="1">IF(ISNUMBER(Games[[#This Row],[QuadRank]]),_xlfn.RANK.EQ(Games[[#This Row],[QuadSort]],Games[QuadSort],1),"")</f>
        <v>72</v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>
        <v>73</v>
      </c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6.1447090558605651E-7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73.000000614470906</v>
      </c>
      <c r="V74">
        <f ca="1">_xlfn.RANK.EQ(Games[[#This Row],[Sort]],Games[Sort],1)</f>
        <v>16</v>
      </c>
      <c r="W74">
        <f ca="1">IF(ISNUMBER(Games[[#This Row],[QuadRank]]),_xlfn.RANK.EQ(Games[[#This Row],[QuadSort]],Games[QuadSort],1),"")</f>
        <v>73</v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>
        <v>74</v>
      </c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5.9483465036913143E-8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74.000000059483469</v>
      </c>
      <c r="V75">
        <f ca="1">_xlfn.RANK.EQ(Games[[#This Row],[Sort]],Games[Sort],1)</f>
        <v>2</v>
      </c>
      <c r="W75">
        <f ca="1">IF(ISNUMBER(Games[[#This Row],[QuadRank]]),_xlfn.RANK.EQ(Games[[#This Row],[QuadSort]],Games[QuadSort],1),"")</f>
        <v>74</v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>
        <v>75</v>
      </c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6.6475603244688414E-7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75.00000066475603</v>
      </c>
      <c r="V76">
        <f ca="1">_xlfn.RANK.EQ(Games[[#This Row],[Sort]],Games[Sort],1)</f>
        <v>17</v>
      </c>
      <c r="W76">
        <f ca="1">IF(ISNUMBER(Games[[#This Row],[QuadRank]]),_xlfn.RANK.EQ(Games[[#This Row],[QuadSort]],Games[QuadSort],1),"")</f>
        <v>75</v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>
        <v>76</v>
      </c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1.9977438244458338E-6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76.000001997743823</v>
      </c>
      <c r="V77">
        <f ca="1">_xlfn.RANK.EQ(Games[[#This Row],[Sort]],Games[Sort],1)</f>
        <v>61</v>
      </c>
      <c r="W77">
        <f ca="1">IF(ISNUMBER(Games[[#This Row],[QuadRank]]),_xlfn.RANK.EQ(Games[[#This Row],[QuadSort]],Games[QuadSort],1),"")</f>
        <v>76</v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>
        <v>77</v>
      </c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1.3049775103030548E-6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77.000001304977516</v>
      </c>
      <c r="V78">
        <f ca="1">_xlfn.RANK.EQ(Games[[#This Row],[Sort]],Games[Sort],1)</f>
        <v>45</v>
      </c>
      <c r="W78">
        <f ca="1">IF(ISNUMBER(Games[[#This Row],[QuadRank]]),_xlfn.RANK.EQ(Games[[#This Row],[QuadSort]],Games[QuadSort],1),"")</f>
        <v>77</v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>
        <v>78</v>
      </c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8.8776894334754714E-7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78.000000887768948</v>
      </c>
      <c r="V79">
        <f ca="1">_xlfn.RANK.EQ(Games[[#This Row],[Sort]],Games[Sort],1)</f>
        <v>27</v>
      </c>
      <c r="W79">
        <f ca="1">IF(ISNUMBER(Games[[#This Row],[QuadRank]]),_xlfn.RANK.EQ(Games[[#This Row],[QuadSort]],Games[QuadSort],1),"")</f>
        <v>78</v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>
        <v>79</v>
      </c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1.1289216335607717E-6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79.000001128921639</v>
      </c>
      <c r="V80">
        <f ca="1">_xlfn.RANK.EQ(Games[[#This Row],[Sort]],Games[Sort],1)</f>
        <v>38</v>
      </c>
      <c r="W80">
        <f ca="1">IF(ISNUMBER(Games[[#This Row],[QuadRank]]),_xlfn.RANK.EQ(Games[[#This Row],[QuadSort]],Games[QuadSort],1),"")</f>
        <v>79</v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>
        <v>80</v>
      </c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7.1171306660526419E-7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80.000000711713071</v>
      </c>
      <c r="V81">
        <f ca="1">_xlfn.RANK.EQ(Games[[#This Row],[Sort]],Games[Sort],1)</f>
        <v>20</v>
      </c>
      <c r="W81">
        <f ca="1">IF(ISNUMBER(Games[[#This Row],[QuadRank]]),_xlfn.RANK.EQ(Games[[#This Row],[QuadSort]],Games[QuadSort],1),"")</f>
        <v>80</v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>
        <v>81</v>
      </c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4.9844356891635342E-7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81.000000498443569</v>
      </c>
      <c r="V82">
        <f ca="1">_xlfn.RANK.EQ(Games[[#This Row],[Sort]],Games[Sort],1)</f>
        <v>12</v>
      </c>
      <c r="W82">
        <f ca="1">IF(ISNUMBER(Games[[#This Row],[QuadRank]]),_xlfn.RANK.EQ(Games[[#This Row],[QuadSort]],Games[QuadSort],1),"")</f>
        <v>81</v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2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5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2026-09-21T22:44:38Z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