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F323C79A-ABB4-4E8B-9B07-03912D7AE64F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Ranking" sheetId="1" r:id="rId1"/>
  </sheets>
  <definedNames>
    <definedName name="_xlnm._FilterDatabase" localSheetId="0" hidden="1">Ranking!$J$1:$Q$82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S2" i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AC5" i="1"/>
  <c r="AC6" i="1"/>
  <c r="AC7" i="1"/>
  <c r="AC8" i="1"/>
  <c r="AD5" i="1"/>
  <c r="AD6" i="1"/>
  <c r="AD7" i="1"/>
  <c r="AD8" i="1"/>
  <c r="AC9" i="1"/>
  <c r="AC10" i="1"/>
  <c r="AC11" i="1"/>
  <c r="AC12" i="1"/>
  <c r="AD9" i="1"/>
  <c r="AD10" i="1"/>
  <c r="AD11" i="1"/>
  <c r="AD12" i="1"/>
  <c r="AC13" i="1"/>
  <c r="AC14" i="1"/>
  <c r="AD13" i="1"/>
  <c r="AD14" i="1"/>
  <c r="AC16" i="1"/>
  <c r="AD16" i="1"/>
  <c r="AC15" i="1"/>
  <c r="AD15" i="1"/>
  <c r="AD2" i="1"/>
  <c r="AD3" i="1"/>
  <c r="AD4" i="1"/>
  <c r="AC2" i="1"/>
  <c r="AC3" i="1"/>
  <c r="AC4" i="1"/>
  <c r="AB17" i="1"/>
  <c r="AA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AC17" i="1" l="1"/>
  <c r="AD17" i="1"/>
  <c r="AD18" i="1" s="1"/>
  <c r="U5" i="1"/>
  <c r="U2" i="1"/>
  <c r="U39" i="1"/>
  <c r="U79" i="1"/>
  <c r="U71" i="1"/>
  <c r="U63" i="1"/>
  <c r="U55" i="1"/>
  <c r="U47" i="1"/>
  <c r="U74" i="1"/>
  <c r="U50" i="1"/>
  <c r="U34" i="1"/>
  <c r="U10" i="1"/>
  <c r="U73" i="1"/>
  <c r="U57" i="1"/>
  <c r="U49" i="1"/>
  <c r="U41" i="1"/>
  <c r="U25" i="1"/>
  <c r="U17" i="1"/>
  <c r="U9" i="1"/>
  <c r="U15" i="1"/>
  <c r="U70" i="1"/>
  <c r="U14" i="1"/>
  <c r="U7" i="1"/>
  <c r="U54" i="1"/>
  <c r="U30" i="1"/>
  <c r="U21" i="1"/>
  <c r="U23" i="1"/>
  <c r="U78" i="1"/>
  <c r="U46" i="1"/>
  <c r="U22" i="1"/>
  <c r="U77" i="1"/>
  <c r="U61" i="1"/>
  <c r="U45" i="1"/>
  <c r="U29" i="1"/>
  <c r="U31" i="1"/>
  <c r="U62" i="1"/>
  <c r="U38" i="1"/>
  <c r="U6" i="1"/>
  <c r="U69" i="1"/>
  <c r="U53" i="1"/>
  <c r="U37" i="1"/>
  <c r="U13" i="1"/>
  <c r="U66" i="1"/>
  <c r="U42" i="1"/>
  <c r="U18" i="1"/>
  <c r="U82" i="1"/>
  <c r="U58" i="1"/>
  <c r="U26" i="1"/>
  <c r="U81" i="1"/>
  <c r="U65" i="1"/>
  <c r="U33" i="1"/>
  <c r="U60" i="1"/>
  <c r="U28" i="1"/>
  <c r="U75" i="1"/>
  <c r="U27" i="1"/>
  <c r="U12" i="1"/>
  <c r="U72" i="1"/>
  <c r="U64" i="1"/>
  <c r="U48" i="1"/>
  <c r="U40" i="1"/>
  <c r="U24" i="1"/>
  <c r="U8" i="1"/>
  <c r="U68" i="1"/>
  <c r="U20" i="1"/>
  <c r="U80" i="1"/>
  <c r="U56" i="1"/>
  <c r="U16" i="1"/>
  <c r="U44" i="1"/>
  <c r="U32" i="1"/>
  <c r="U4" i="1"/>
  <c r="U52" i="1"/>
  <c r="U59" i="1"/>
  <c r="U51" i="1"/>
  <c r="U43" i="1"/>
  <c r="U35" i="1"/>
  <c r="U11" i="1"/>
  <c r="U3" i="1"/>
  <c r="U76" i="1"/>
  <c r="U36" i="1"/>
  <c r="U67" i="1"/>
  <c r="U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<sst xmlns="http://schemas.openxmlformats.org/spreadsheetml/2006/main" count="267" uniqueCount="96">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</sst>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1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2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X82" totalsRowShown="0" headerRowDxfId="21" dataDxfId="20">
  <autoFilter ref="J1:X82" xr:uid="{00000000-000C-0000-FFFF-FFFF00000000}"/>
  <sortState xmlns:xlrd2="http://schemas.microsoft.com/office/spreadsheetml/2017/richdata2" ref="J2:X82">
    <sortCondition ref="K2:K82"/>
    <sortCondition ref="L2:L82"/>
    <sortCondition ref="N2:N82"/>
  </sortState>
  <tableColumns count="15">
    <tableColumn id="3" xr3:uid="{00000000-0010-0000-0000-000003000000}" name="Day" dataDxfId="19"/>
    <tableColumn id="2" xr3:uid="{00000000-0010-0000-0000-000002000000}" name="Date" dataDxfId="18"/>
    <tableColumn id="5" xr3:uid="{00000000-0010-0000-0000-000005000000}" name="Time" dataDxfId="17"/>
    <tableColumn id="4" xr3:uid="{00000000-0010-0000-0000-000004000000}" name="Opponent" dataDxfId="16"/>
    <tableColumn id="7" xr3:uid="{9E8F088B-1EA6-44CA-B818-1F7D43F5D5E7}" name="Type" dataCellStyle="Normal"/>
    <tableColumn id="8" xr3:uid="{AA6D2002-4C78-4093-9793-A575FAC0F72F}" name="Price" dataDxfId="15" dataCellStyle="Currency">
      <calculatedColumnFormula>_xlfn.XLOOKUP(Games[[#This Row],[Type]],Types[Type],Types[Price])</calculatedColumnFormula>
    </tableColumn>
    <tableColumn id="6" xr3:uid="{00000000-0010-0000-0000-000006000000}" name="Rank" dataDxfId="14"/>
    <tableColumn id="10" xr3:uid="{00000000-0010-0000-0000-00000A000000}" name="QuadRank" dataDxfId="13" dataCellStyle="Normal 2"/>
    <tableColumn id="13" xr3:uid="{10011C92-A32E-4605-8584-BDBE5EABC83A}" name="Sort" dataDxfId="12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1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21" xr3:uid="{6605C5A5-6B7D-4186-8D6F-A61D7DFDD8D4}" name="GamePairs" dataDxfId="10">
      <calculatedColumnFormula>_xlfn.XLOOKUP(Games[[#This Row],[Type]],Types[Type],Types[Pairs])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7"/>
    <tableColumn id="14" xr3:uid="{02873305-C254-48E4-9E8D-324FD18F7B69}" name="Comment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Z23:AB27" totalsRowShown="0" headerRowCellStyle="Normal">
  <autoFilter ref="Z23:AB27" xr:uid="{C8A00DCA-5FDD-46AE-98FE-ADCF435506EB}"/>
  <tableColumns count="3">
    <tableColumn id="1" xr3:uid="{D0C1F639-6CA2-4EE2-B48E-9CAE9BBAB740}" name="Type" dataDxfId="5"/>
    <tableColumn id="2" xr3:uid="{D785142C-C4FC-418F-A0C8-7745E2B467E4}" name="Price" dataDxfId="4" dataCellStyle="Currency"/>
    <tableColumn id="3" xr3:uid="{F14FCFFA-E6B3-465B-BEC9-D1AFB23F6C0D}" name="Pairs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Z1:AD17" totalsRowCount="1" headerRowDxfId="3">
  <autoFilter ref="Z1:AD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D82"/>
  <sheetViews>
    <sheetView tabSelected="1" zoomScale="90" zoomScaleNormal="90" workbookViewId="0">
      <pane ySplit="1" topLeftCell="A2" activePane="bottomLeft" state="frozen"/>
      <selection pane="bottomLeft" activeCell="P2" sqref="P2"/>
    </sheetView>
  </sheetViews>
  <sheetFormatPr defaultRowHeight="12.75" x14ac:dyDescent="0.35"/>
  <cols>
    <col min="1" max="1" width="4.265625" customWidth="1"/>
    <col min="2" max="2" width="4" customWidth="1"/>
    <col min="3" max="3" width="7.3984375" customWidth="1"/>
    <col min="4" max="4" width="2.86328125" customWidth="1"/>
    <col min="5" max="5" width="6.3984375" customWidth="1"/>
    <col min="6" max="6" width="3.1328125" customWidth="1"/>
    <col min="7" max="8" width="4.265625" customWidth="1"/>
    <col min="9" max="9" width="18.3984375" customWidth="1"/>
    <col min="10" max="10" width="7.86328125" style="4" bestFit="1" customWidth="1"/>
    <col min="11" max="11" width="8.73046875" style="4" bestFit="1" customWidth="1"/>
    <col min="12" max="12" width="9.1328125" style="4" bestFit="1" customWidth="1"/>
    <col min="13" max="13" width="14.73046875" style="2" bestFit="1" customWidth="1"/>
    <col min="14" max="14" width="6.1328125" customWidth="1"/>
    <col min="15" max="15" width="7.265625" customWidth="1"/>
    <col min="16" max="16" width="9.265625" bestFit="1" customWidth="1"/>
    <col min="17" max="17" width="7.1328125" customWidth="1"/>
    <col min="18" max="19" width="15.86328125" hidden="1" customWidth="1"/>
    <col min="20" max="20" width="9.1328125" hidden="1" customWidth="1"/>
    <col min="21" max="21" width="10.1328125" bestFit="1" customWidth="1"/>
    <col min="22" max="22" width="7.265625" customWidth="1"/>
    <col min="23" max="23" width="88.59765625" bestFit="1" customWidth="1"/>
    <col min="24" max="24" width="22.73046875" customWidth="1"/>
    <col min="25" max="25" width="3" customWidth="1"/>
    <col min="26" max="26" width="14" bestFit="1" customWidth="1"/>
    <col min="27" max="27" width="7.1328125" customWidth="1"/>
    <col min="28" max="28" width="8.1328125" customWidth="1"/>
    <col min="29" max="29" width="10.265625" bestFit="1" customWidth="1"/>
  </cols>
  <sheetData>
    <row r="1" spans="1:30" s="1" customFormat="1" ht="30" x14ac:dyDescent="0.4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20" t="s">
        <v>3</v>
      </c>
      <c r="Q1" s="20" t="s">
        <v>87</v>
      </c>
      <c r="R1" s="19" t="s">
        <v>75</v>
      </c>
      <c r="S1" s="19" t="s">
        <v>94</v>
      </c>
      <c r="T1" s="19" t="s">
        <v>95</v>
      </c>
      <c r="U1" s="19" t="s">
        <v>89</v>
      </c>
      <c r="V1" s="19" t="s">
        <v>90</v>
      </c>
      <c r="W1" s="17" t="s">
        <v>92</v>
      </c>
      <c r="X1" s="17" t="s">
        <v>93</v>
      </c>
      <c r="Z1" s="17" t="s">
        <v>91</v>
      </c>
      <c r="AA1" s="17" t="s">
        <v>76</v>
      </c>
      <c r="AB1" s="17" t="s">
        <v>77</v>
      </c>
      <c r="AC1" s="17" t="s">
        <v>82</v>
      </c>
      <c r="AD1" s="17" t="s">
        <v>83</v>
      </c>
    </row>
    <row r="2" spans="1:30" x14ac:dyDescent="0.35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 s="12"/>
      <c r="Q2" s="16"/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>_xlfn.XLOOKUP(Games[[#This Row],[Type]],Types[Type],Types[Pairs])</f>
        <v>2</v>
      </c>
      <c r="U2">
        <f ca="1">_xlfn.RANK.EQ(Games[[#This Row],[Sort]],Games[Sort],1)</f>
        <v>80</v>
      </c>
      <c r="V2" t="str">
        <f>IF(ISNUMBER(Games[[#This Row],[QuadRank]]),_xlfn.RANK.EQ(Games[[#This Row],[QuadSort]],Games[QuadSort],1),"")</f>
        <v/>
      </c>
      <c r="W2" s="5" t="s">
        <v>38</v>
      </c>
      <c r="X2" s="5"/>
      <c r="Z2" t="s">
        <v>78</v>
      </c>
      <c r="AA2">
        <v>10</v>
      </c>
      <c r="AB2">
        <v>2</v>
      </c>
      <c r="AC2">
        <f>Names[[#This Row],[Pairs]]+Names[[#This Row],[Quads]]</f>
        <v>12</v>
      </c>
      <c r="AD2">
        <f>Names[[#This Row],[Pairs]]*2 + Names[[#This Row],[Quads]]*4</f>
        <v>28</v>
      </c>
    </row>
    <row r="3" spans="1:30" x14ac:dyDescent="0.35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 s="12"/>
      <c r="Q3" s="16"/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>_xlfn.XLOOKUP(Games[[#This Row],[Type]],Types[Type],Types[Pairs])</f>
        <v>1</v>
      </c>
      <c r="U3">
        <f ca="1">_xlfn.RANK.EQ(Games[[#This Row],[Sort]],Games[Sort],1)</f>
        <v>50</v>
      </c>
      <c r="V3" t="str">
        <f>IF(ISNUMBER(Games[[#This Row],[QuadRank]]),_xlfn.RANK.EQ(Games[[#This Row],[QuadSort]],Games[QuadSort],1),"")</f>
        <v/>
      </c>
      <c r="W3" s="5" t="s">
        <v>39</v>
      </c>
      <c r="X3" s="5"/>
      <c r="Z3" t="s">
        <v>79</v>
      </c>
      <c r="AA3">
        <v>20</v>
      </c>
      <c r="AB3">
        <v>2</v>
      </c>
      <c r="AC3">
        <f>Names[[#This Row],[Pairs]]+Names[[#This Row],[Quads]]</f>
        <v>22</v>
      </c>
      <c r="AD3">
        <f>Names[[#This Row],[Pairs]]*2 + Names[[#This Row],[Quads]]*4</f>
        <v>48</v>
      </c>
    </row>
    <row r="4" spans="1:30" x14ac:dyDescent="0.35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 s="12"/>
      <c r="Q4" s="16"/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>_xlfn.XLOOKUP(Games[[#This Row],[Type]],Types[Type],Types[Pairs])</f>
        <v>1</v>
      </c>
      <c r="U4">
        <f ca="1">_xlfn.RANK.EQ(Games[[#This Row],[Sort]],Games[Sort],1)</f>
        <v>69</v>
      </c>
      <c r="V4" t="str">
        <f>IF(ISNUMBER(Games[[#This Row],[QuadRank]]),_xlfn.RANK.EQ(Games[[#This Row],[QuadSort]],Games[QuadSort],1),"")</f>
        <v/>
      </c>
      <c r="W4" s="5" t="s">
        <v>40</v>
      </c>
      <c r="X4" s="5"/>
      <c r="Z4" t="s">
        <v>80</v>
      </c>
      <c r="AA4">
        <v>22</v>
      </c>
      <c r="AB4">
        <v>0</v>
      </c>
      <c r="AC4">
        <f>Names[[#This Row],[Pairs]]+Names[[#This Row],[Quads]]</f>
        <v>22</v>
      </c>
      <c r="AD4">
        <f>Names[[#This Row],[Pairs]]*2 + Names[[#This Row],[Quads]]*4</f>
        <v>44</v>
      </c>
    </row>
    <row r="5" spans="1:30" x14ac:dyDescent="0.35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 s="12"/>
      <c r="Q5" s="16"/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>_xlfn.XLOOKUP(Games[[#This Row],[Type]],Types[Type],Types[Pairs])</f>
        <v>1</v>
      </c>
      <c r="U5">
        <f ca="1">_xlfn.RANK.EQ(Games[[#This Row],[Sort]],Games[Sort],1)</f>
        <v>45</v>
      </c>
      <c r="V5" t="str">
        <f>IF(ISNUMBER(Games[[#This Row],[QuadRank]]),_xlfn.RANK.EQ(Games[[#This Row],[QuadSort]],Games[QuadSort],1),"")</f>
        <v/>
      </c>
      <c r="W5" s="5"/>
      <c r="X5" s="5"/>
      <c r="AC5">
        <f>Names[[#This Row],[Pairs]]+Names[[#This Row],[Quads]]</f>
        <v>0</v>
      </c>
      <c r="AD5">
        <f>Names[[#This Row],[Pairs]]*2 + Names[[#This Row],[Quads]]*4</f>
        <v>0</v>
      </c>
    </row>
    <row r="6" spans="1:30" ht="13.15" x14ac:dyDescent="0.4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 s="12"/>
      <c r="Q6" s="16"/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>_xlfn.XLOOKUP(Games[[#This Row],[Type]],Types[Type],Types[Pairs])</f>
        <v>2</v>
      </c>
      <c r="U6">
        <f ca="1">_xlfn.RANK.EQ(Games[[#This Row],[Sort]],Games[Sort],1)</f>
        <v>7</v>
      </c>
      <c r="V6" t="str">
        <f>IF(ISNUMBER(Games[[#This Row],[QuadRank]]),_xlfn.RANK.EQ(Games[[#This Row],[QuadSort]],Games[QuadSort],1),"")</f>
        <v/>
      </c>
      <c r="W6" s="5"/>
      <c r="X6" s="5"/>
      <c r="AC6">
        <f>Names[[#This Row],[Pairs]]+Names[[#This Row],[Quads]]</f>
        <v>0</v>
      </c>
      <c r="AD6">
        <f>Names[[#This Row],[Pairs]]*2 + Names[[#This Row],[Quads]]*4</f>
        <v>0</v>
      </c>
    </row>
    <row r="7" spans="1:30" x14ac:dyDescent="0.35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 s="12"/>
      <c r="Q7" s="16"/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>_xlfn.XLOOKUP(Games[[#This Row],[Type]],Types[Type],Types[Pairs])</f>
        <v>2</v>
      </c>
      <c r="U7">
        <f ca="1">_xlfn.RANK.EQ(Games[[#This Row],[Sort]],Games[Sort],1)</f>
        <v>65</v>
      </c>
      <c r="V7" t="str">
        <f>IF(ISNUMBER(Games[[#This Row],[QuadRank]]),_xlfn.RANK.EQ(Games[[#This Row],[QuadSort]],Games[QuadSort],1),"")</f>
        <v/>
      </c>
      <c r="W7" s="5"/>
      <c r="X7" s="5"/>
      <c r="AC7">
        <f>Names[[#This Row],[Pairs]]+Names[[#This Row],[Quads]]</f>
        <v>0</v>
      </c>
      <c r="AD7">
        <f>Names[[#This Row],[Pairs]]*2 + Names[[#This Row],[Quads]]*4</f>
        <v>0</v>
      </c>
    </row>
    <row r="8" spans="1:30" x14ac:dyDescent="0.35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 s="12"/>
      <c r="Q8" s="16"/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>_xlfn.XLOOKUP(Games[[#This Row],[Type]],Types[Type],Types[Pairs])</f>
        <v>2</v>
      </c>
      <c r="U8">
        <f ca="1">_xlfn.RANK.EQ(Games[[#This Row],[Sort]],Games[Sort],1)</f>
        <v>8</v>
      </c>
      <c r="V8" t="str">
        <f>IF(ISNUMBER(Games[[#This Row],[QuadRank]]),_xlfn.RANK.EQ(Games[[#This Row],[QuadSort]],Games[QuadSort],1),"")</f>
        <v/>
      </c>
      <c r="W8" s="5"/>
      <c r="X8" s="5"/>
      <c r="AC8">
        <f>Names[[#This Row],[Pairs]]+Names[[#This Row],[Quads]]</f>
        <v>0</v>
      </c>
      <c r="AD8">
        <f>Names[[#This Row],[Pairs]]*2 + Names[[#This Row],[Quads]]*4</f>
        <v>0</v>
      </c>
    </row>
    <row r="9" spans="1:30" x14ac:dyDescent="0.35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 s="12"/>
      <c r="Q9" s="16"/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>_xlfn.XLOOKUP(Games[[#This Row],[Type]],Types[Type],Types[Pairs])</f>
        <v>2</v>
      </c>
      <c r="U9">
        <f ca="1">_xlfn.RANK.EQ(Games[[#This Row],[Sort]],Games[Sort],1)</f>
        <v>51</v>
      </c>
      <c r="V9" t="str">
        <f>IF(ISNUMBER(Games[[#This Row],[QuadRank]]),_xlfn.RANK.EQ(Games[[#This Row],[QuadSort]],Games[QuadSort],1),"")</f>
        <v/>
      </c>
      <c r="W9" s="5" t="s">
        <v>41</v>
      </c>
      <c r="X9" s="5"/>
      <c r="AC9">
        <f>Names[[#This Row],[Pairs]]+Names[[#This Row],[Quads]]</f>
        <v>0</v>
      </c>
      <c r="AD9">
        <f>Names[[#This Row],[Pairs]]*2 + Names[[#This Row],[Quads]]*4</f>
        <v>0</v>
      </c>
    </row>
    <row r="10" spans="1:30" x14ac:dyDescent="0.35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 s="12"/>
      <c r="Q10" s="16"/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>_xlfn.XLOOKUP(Games[[#This Row],[Type]],Types[Type],Types[Pairs])</f>
        <v>2</v>
      </c>
      <c r="U10">
        <f ca="1">_xlfn.RANK.EQ(Games[[#This Row],[Sort]],Games[Sort],1)</f>
        <v>16</v>
      </c>
      <c r="V10" t="str">
        <f>IF(ISNUMBER(Games[[#This Row],[QuadRank]]),_xlfn.RANK.EQ(Games[[#This Row],[QuadSort]],Games[QuadSort],1),"")</f>
        <v/>
      </c>
      <c r="W10" s="5" t="s">
        <v>42</v>
      </c>
      <c r="X10" s="5"/>
      <c r="AC10">
        <f>Names[[#This Row],[Pairs]]+Names[[#This Row],[Quads]]</f>
        <v>0</v>
      </c>
      <c r="AD10">
        <f>Names[[#This Row],[Pairs]]*2 + Names[[#This Row],[Quads]]*4</f>
        <v>0</v>
      </c>
    </row>
    <row r="11" spans="1:30" x14ac:dyDescent="0.35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 s="12"/>
      <c r="Q11" s="16"/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>_xlfn.XLOOKUP(Games[[#This Row],[Type]],Types[Type],Types[Pairs])</f>
        <v>2</v>
      </c>
      <c r="U11">
        <f ca="1">_xlfn.RANK.EQ(Games[[#This Row],[Sort]],Games[Sort],1)</f>
        <v>52</v>
      </c>
      <c r="V11" t="str">
        <f>IF(ISNUMBER(Games[[#This Row],[QuadRank]]),_xlfn.RANK.EQ(Games[[#This Row],[QuadSort]],Games[QuadSort],1),"")</f>
        <v/>
      </c>
      <c r="W11" s="5"/>
      <c r="X11" s="5"/>
      <c r="AC11">
        <f>Names[[#This Row],[Pairs]]+Names[[#This Row],[Quads]]</f>
        <v>0</v>
      </c>
      <c r="AD11">
        <f>Names[[#This Row],[Pairs]]*2 + Names[[#This Row],[Quads]]*4</f>
        <v>0</v>
      </c>
    </row>
    <row r="12" spans="1:30" x14ac:dyDescent="0.35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 s="12"/>
      <c r="Q12" s="16"/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>_xlfn.XLOOKUP(Games[[#This Row],[Type]],Types[Type],Types[Pairs])</f>
        <v>1</v>
      </c>
      <c r="U12">
        <f ca="1">_xlfn.RANK.EQ(Games[[#This Row],[Sort]],Games[Sort],1)</f>
        <v>17</v>
      </c>
      <c r="V12" t="str">
        <f>IF(ISNUMBER(Games[[#This Row],[QuadRank]]),_xlfn.RANK.EQ(Games[[#This Row],[QuadSort]],Games[QuadSort],1),"")</f>
        <v/>
      </c>
      <c r="W12" s="5"/>
      <c r="X12" s="5"/>
      <c r="AC12">
        <f>Names[[#This Row],[Pairs]]+Names[[#This Row],[Quads]]</f>
        <v>0</v>
      </c>
      <c r="AD12">
        <f>Names[[#This Row],[Pairs]]*2 + Names[[#This Row],[Quads]]*4</f>
        <v>0</v>
      </c>
    </row>
    <row r="13" spans="1:30" x14ac:dyDescent="0.35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 s="12"/>
      <c r="Q13" s="16"/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>_xlfn.XLOOKUP(Games[[#This Row],[Type]],Types[Type],Types[Pairs])</f>
        <v>1</v>
      </c>
      <c r="U13">
        <f ca="1">_xlfn.RANK.EQ(Games[[#This Row],[Sort]],Games[Sort],1)</f>
        <v>34</v>
      </c>
      <c r="V13" t="str">
        <f>IF(ISNUMBER(Games[[#This Row],[QuadRank]]),_xlfn.RANK.EQ(Games[[#This Row],[QuadSort]],Games[QuadSort],1),"")</f>
        <v/>
      </c>
      <c r="W13" s="5" t="s">
        <v>43</v>
      </c>
      <c r="X13" s="5"/>
      <c r="AC13">
        <f>Names[[#This Row],[Pairs]]+Names[[#This Row],[Quads]]</f>
        <v>0</v>
      </c>
      <c r="AD13">
        <f>Names[[#This Row],[Pairs]]*2 + Names[[#This Row],[Quads]]*4</f>
        <v>0</v>
      </c>
    </row>
    <row r="14" spans="1:30" x14ac:dyDescent="0.35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 s="12"/>
      <c r="Q14" s="16"/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>_xlfn.XLOOKUP(Games[[#This Row],[Type]],Types[Type],Types[Pairs])</f>
        <v>1</v>
      </c>
      <c r="U14">
        <f ca="1">_xlfn.RANK.EQ(Games[[#This Row],[Sort]],Games[Sort],1)</f>
        <v>40</v>
      </c>
      <c r="V14" t="str">
        <f>IF(ISNUMBER(Games[[#This Row],[QuadRank]]),_xlfn.RANK.EQ(Games[[#This Row],[QuadSort]],Games[QuadSort],1),"")</f>
        <v/>
      </c>
      <c r="W14" s="5" t="s">
        <v>44</v>
      </c>
      <c r="X14" s="5"/>
      <c r="AC14">
        <f>Names[[#This Row],[Pairs]]+Names[[#This Row],[Quads]]</f>
        <v>0</v>
      </c>
      <c r="AD14">
        <f>Names[[#This Row],[Pairs]]*2 + Names[[#This Row],[Quads]]*4</f>
        <v>0</v>
      </c>
    </row>
    <row r="15" spans="1:30" x14ac:dyDescent="0.35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 s="12"/>
      <c r="Q15" s="16"/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>_xlfn.XLOOKUP(Games[[#This Row],[Type]],Types[Type],Types[Pairs])</f>
        <v>1</v>
      </c>
      <c r="U15">
        <f ca="1">_xlfn.RANK.EQ(Games[[#This Row],[Sort]],Games[Sort],1)</f>
        <v>20</v>
      </c>
      <c r="V15" t="str">
        <f>IF(ISNUMBER(Games[[#This Row],[QuadRank]]),_xlfn.RANK.EQ(Games[[#This Row],[QuadSort]],Games[QuadSort],1),"")</f>
        <v/>
      </c>
      <c r="W15" s="5" t="s">
        <v>45</v>
      </c>
      <c r="X15" s="5"/>
      <c r="AC15">
        <f>Names[[#This Row],[Pairs]]+Names[[#This Row],[Quads]]</f>
        <v>0</v>
      </c>
      <c r="AD15">
        <f>Names[[#This Row],[Pairs]]*2 + Names[[#This Row],[Quads]]*4</f>
        <v>0</v>
      </c>
    </row>
    <row r="16" spans="1:30" x14ac:dyDescent="0.35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 s="12"/>
      <c r="Q16" s="16"/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>_xlfn.XLOOKUP(Games[[#This Row],[Type]],Types[Type],Types[Pairs])</f>
        <v>1</v>
      </c>
      <c r="U16">
        <f ca="1">_xlfn.RANK.EQ(Games[[#This Row],[Sort]],Games[Sort],1)</f>
        <v>28</v>
      </c>
      <c r="V16" t="str">
        <f>IF(ISNUMBER(Games[[#This Row],[QuadRank]]),_xlfn.RANK.EQ(Games[[#This Row],[QuadSort]],Games[QuadSort],1),"")</f>
        <v/>
      </c>
      <c r="W16" s="5"/>
      <c r="X16" s="5"/>
      <c r="AC16">
        <f>Names[[#This Row],[Pairs]]+Names[[#This Row],[Quads]]</f>
        <v>0</v>
      </c>
      <c r="AD16">
        <f>Names[[#This Row],[Pairs]]*2 + Names[[#This Row],[Quads]]*4</f>
        <v>0</v>
      </c>
    </row>
    <row r="17" spans="2:30" x14ac:dyDescent="0.35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 s="12"/>
      <c r="Q17" s="16"/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>_xlfn.XLOOKUP(Games[[#This Row],[Type]],Types[Type],Types[Pairs])</f>
        <v>1</v>
      </c>
      <c r="U17">
        <f ca="1">_xlfn.RANK.EQ(Games[[#This Row],[Sort]],Games[Sort],1)</f>
        <v>2</v>
      </c>
      <c r="V17" t="str">
        <f>IF(ISNUMBER(Games[[#This Row],[QuadRank]]),_xlfn.RANK.EQ(Games[[#This Row],[QuadSort]],Games[QuadSort],1),"")</f>
        <v/>
      </c>
      <c r="W17" s="5"/>
      <c r="X17" s="5"/>
      <c r="Z17" t="s">
        <v>81</v>
      </c>
      <c r="AA17">
        <f>SUBTOTAL(109,Names[Pairs])</f>
        <v>52</v>
      </c>
      <c r="AB17">
        <f>SUBTOTAL(109,Names[Quads])</f>
        <v>4</v>
      </c>
      <c r="AC17">
        <f>SUBTOTAL(109,Names[Games])</f>
        <v>56</v>
      </c>
      <c r="AD17">
        <f>SUBTOTAL(109,Names[Tickets])</f>
        <v>120</v>
      </c>
    </row>
    <row r="18" spans="2:30" ht="13.15" x14ac:dyDescent="0.4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 s="12"/>
      <c r="Q18" s="16"/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>_xlfn.XLOOKUP(Games[[#This Row],[Type]],Types[Type],Types[Pairs])</f>
        <v>2</v>
      </c>
      <c r="U18">
        <f ca="1">_xlfn.RANK.EQ(Games[[#This Row],[Sort]],Games[Sort],1)</f>
        <v>29</v>
      </c>
      <c r="V18" t="str">
        <f>IF(ISNUMBER(Games[[#This Row],[QuadRank]]),_xlfn.RANK.EQ(Games[[#This Row],[QuadSort]],Games[QuadSort],1),"")</f>
        <v/>
      </c>
      <c r="W18" s="5"/>
      <c r="X18" s="5"/>
      <c r="AB18" t="s">
        <v>85</v>
      </c>
      <c r="AD18" s="1">
        <f>SUM(Games[GamePairs]) - Names[[#Totals],[Tickets]]/2</f>
        <v>73</v>
      </c>
    </row>
    <row r="19" spans="2:30" x14ac:dyDescent="0.35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 s="12"/>
      <c r="Q19" s="16"/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>_xlfn.XLOOKUP(Games[[#This Row],[Type]],Types[Type],Types[Pairs])</f>
        <v>2</v>
      </c>
      <c r="U19">
        <f ca="1">_xlfn.RANK.EQ(Games[[#This Row],[Sort]],Games[Sort],1)</f>
        <v>61</v>
      </c>
      <c r="V19" t="str">
        <f>IF(ISNUMBER(Games[[#This Row],[QuadRank]]),_xlfn.RANK.EQ(Games[[#This Row],[QuadSort]],Games[QuadSort],1),"")</f>
        <v/>
      </c>
      <c r="W19" s="5" t="s">
        <v>46</v>
      </c>
      <c r="X19" s="5"/>
    </row>
    <row r="20" spans="2:30" x14ac:dyDescent="0.35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 s="12"/>
      <c r="Q20" s="16"/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>_xlfn.XLOOKUP(Games[[#This Row],[Type]],Types[Type],Types[Pairs])</f>
        <v>2</v>
      </c>
      <c r="U20">
        <f ca="1">_xlfn.RANK.EQ(Games[[#This Row],[Sort]],Games[Sort],1)</f>
        <v>47</v>
      </c>
      <c r="V20" t="str">
        <f>IF(ISNUMBER(Games[[#This Row],[QuadRank]]),_xlfn.RANK.EQ(Games[[#This Row],[QuadSort]],Games[QuadSort],1),"")</f>
        <v/>
      </c>
      <c r="W20" s="5" t="s">
        <v>47</v>
      </c>
      <c r="X20" s="5"/>
    </row>
    <row r="21" spans="2:30" x14ac:dyDescent="0.35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 s="12"/>
      <c r="Q21" s="16"/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>_xlfn.XLOOKUP(Games[[#This Row],[Type]],Types[Type],Types[Pairs])</f>
        <v>2</v>
      </c>
      <c r="U21">
        <f ca="1">_xlfn.RANK.EQ(Games[[#This Row],[Sort]],Games[Sort],1)</f>
        <v>71</v>
      </c>
      <c r="V21" t="str">
        <f>IF(ISNUMBER(Games[[#This Row],[QuadRank]]),_xlfn.RANK.EQ(Games[[#This Row],[QuadSort]],Games[QuadSort],1),"")</f>
        <v/>
      </c>
      <c r="W21" s="5" t="s">
        <v>48</v>
      </c>
      <c r="X21" s="5"/>
    </row>
    <row r="22" spans="2:30" x14ac:dyDescent="0.35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 s="12"/>
      <c r="Q22" s="16"/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>_xlfn.XLOOKUP(Games[[#This Row],[Type]],Types[Type],Types[Pairs])</f>
        <v>2</v>
      </c>
      <c r="U22">
        <f ca="1">_xlfn.RANK.EQ(Games[[#This Row],[Sort]],Games[Sort],1)</f>
        <v>75</v>
      </c>
      <c r="V22" t="str">
        <f>IF(ISNUMBER(Games[[#This Row],[QuadRank]]),_xlfn.RANK.EQ(Games[[#This Row],[QuadSort]],Games[QuadSort],1),"")</f>
        <v/>
      </c>
      <c r="W22" s="5"/>
      <c r="X22" s="5"/>
    </row>
    <row r="23" spans="2:30" x14ac:dyDescent="0.35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 s="12"/>
      <c r="Q23" s="16"/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>_xlfn.XLOOKUP(Games[[#This Row],[Type]],Types[Type],Types[Pairs])</f>
        <v>1</v>
      </c>
      <c r="U23">
        <f ca="1">_xlfn.RANK.EQ(Games[[#This Row],[Sort]],Games[Sort],1)</f>
        <v>55</v>
      </c>
      <c r="V23" t="str">
        <f>IF(ISNUMBER(Games[[#This Row],[QuadRank]]),_xlfn.RANK.EQ(Games[[#This Row],[QuadSort]],Games[QuadSort],1),"")</f>
        <v/>
      </c>
      <c r="W23" s="5"/>
      <c r="X23" s="5"/>
      <c r="Z23" t="s">
        <v>86</v>
      </c>
      <c r="AA23" t="s">
        <v>88</v>
      </c>
      <c r="AB23" t="s">
        <v>76</v>
      </c>
    </row>
    <row r="24" spans="2:30" x14ac:dyDescent="0.35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 s="12"/>
      <c r="Q24" s="16"/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>_xlfn.XLOOKUP(Games[[#This Row],[Type]],Types[Type],Types[Pairs])</f>
        <v>1</v>
      </c>
      <c r="U24">
        <f ca="1">_xlfn.RANK.EQ(Games[[#This Row],[Sort]],Games[Sort],1)</f>
        <v>76</v>
      </c>
      <c r="V24" t="str">
        <f>IF(ISNUMBER(Games[[#This Row],[QuadRank]]),_xlfn.RANK.EQ(Games[[#This Row],[QuadSort]],Games[QuadSort],1),"")</f>
        <v/>
      </c>
      <c r="W24" s="5"/>
      <c r="X24" s="5"/>
      <c r="Z24" s="3" t="s">
        <v>69</v>
      </c>
      <c r="AA24" s="15">
        <v>90</v>
      </c>
      <c r="AB24">
        <v>2</v>
      </c>
    </row>
    <row r="25" spans="2:30" x14ac:dyDescent="0.35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 s="12"/>
      <c r="Q25" s="16"/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>_xlfn.XLOOKUP(Games[[#This Row],[Type]],Types[Type],Types[Pairs])</f>
        <v>1</v>
      </c>
      <c r="U25">
        <f ca="1">_xlfn.RANK.EQ(Games[[#This Row],[Sort]],Games[Sort],1)</f>
        <v>35</v>
      </c>
      <c r="V25" t="str">
        <f>IF(ISNUMBER(Games[[#This Row],[QuadRank]]),_xlfn.RANK.EQ(Games[[#This Row],[QuadSort]],Games[QuadSort],1),"")</f>
        <v/>
      </c>
      <c r="W25" s="5" t="s">
        <v>49</v>
      </c>
      <c r="X25" s="5"/>
      <c r="Z25" s="3" t="s">
        <v>70</v>
      </c>
      <c r="AA25" s="15">
        <v>69</v>
      </c>
      <c r="AB25">
        <v>1</v>
      </c>
    </row>
    <row r="26" spans="2:30" x14ac:dyDescent="0.35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 s="12"/>
      <c r="Q26" s="16"/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>_xlfn.XLOOKUP(Games[[#This Row],[Type]],Types[Type],Types[Pairs])</f>
        <v>2</v>
      </c>
      <c r="U26">
        <f ca="1">_xlfn.RANK.EQ(Games[[#This Row],[Sort]],Games[Sort],1)</f>
        <v>54</v>
      </c>
      <c r="V26" t="str">
        <f>IF(ISNUMBER(Games[[#This Row],[QuadRank]]),_xlfn.RANK.EQ(Games[[#This Row],[QuadSort]],Games[QuadSort],1),"")</f>
        <v/>
      </c>
      <c r="W26" s="5" t="s">
        <v>50</v>
      </c>
      <c r="X26" s="5"/>
      <c r="Z26" s="3" t="s">
        <v>72</v>
      </c>
      <c r="AA26" s="15">
        <v>57</v>
      </c>
      <c r="AB26">
        <v>2</v>
      </c>
    </row>
    <row r="27" spans="2:30" x14ac:dyDescent="0.35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 s="12"/>
      <c r="Q27" s="16"/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>_xlfn.XLOOKUP(Games[[#This Row],[Type]],Types[Type],Types[Pairs])</f>
        <v>2</v>
      </c>
      <c r="U27">
        <f ca="1">_xlfn.RANK.EQ(Games[[#This Row],[Sort]],Games[Sort],1)</f>
        <v>73</v>
      </c>
      <c r="V27" t="str">
        <f>IF(ISNUMBER(Games[[#This Row],[QuadRank]]),_xlfn.RANK.EQ(Games[[#This Row],[QuadSort]],Games[QuadSort],1),"")</f>
        <v/>
      </c>
      <c r="W27" s="5"/>
      <c r="X27" s="5"/>
      <c r="Z27" s="3" t="s">
        <v>71</v>
      </c>
      <c r="AA27" s="15">
        <v>45</v>
      </c>
      <c r="AB27">
        <v>2</v>
      </c>
    </row>
    <row r="28" spans="2:30" x14ac:dyDescent="0.35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 s="12"/>
      <c r="Q28" s="16"/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>_xlfn.XLOOKUP(Games[[#This Row],[Type]],Types[Type],Types[Pairs])</f>
        <v>2</v>
      </c>
      <c r="U28">
        <f ca="1">_xlfn.RANK.EQ(Games[[#This Row],[Sort]],Games[Sort],1)</f>
        <v>31</v>
      </c>
      <c r="V28" t="str">
        <f>IF(ISNUMBER(Games[[#This Row],[QuadRank]]),_xlfn.RANK.EQ(Games[[#This Row],[QuadSort]],Games[QuadSort],1),"")</f>
        <v/>
      </c>
      <c r="W28" s="5" t="s">
        <v>51</v>
      </c>
      <c r="X28" s="5"/>
    </row>
    <row r="29" spans="2:30" x14ac:dyDescent="0.35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 s="12"/>
      <c r="Q29" s="16"/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>_xlfn.XLOOKUP(Games[[#This Row],[Type]],Types[Type],Types[Pairs])</f>
        <v>1</v>
      </c>
      <c r="U29">
        <f ca="1">_xlfn.RANK.EQ(Games[[#This Row],[Sort]],Games[Sort],1)</f>
        <v>4</v>
      </c>
      <c r="V29" t="str">
        <f>IF(ISNUMBER(Games[[#This Row],[QuadRank]]),_xlfn.RANK.EQ(Games[[#This Row],[QuadSort]],Games[QuadSort],1),"")</f>
        <v/>
      </c>
      <c r="W29" s="5" t="s">
        <v>51</v>
      </c>
      <c r="X29" s="5"/>
    </row>
    <row r="30" spans="2:30" x14ac:dyDescent="0.35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 s="12"/>
      <c r="Q30" s="16"/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>_xlfn.XLOOKUP(Games[[#This Row],[Type]],Types[Type],Types[Pairs])</f>
        <v>1</v>
      </c>
      <c r="U30">
        <f ca="1">_xlfn.RANK.EQ(Games[[#This Row],[Sort]],Games[Sort],1)</f>
        <v>32</v>
      </c>
      <c r="V30" t="str">
        <f>IF(ISNUMBER(Games[[#This Row],[QuadRank]]),_xlfn.RANK.EQ(Games[[#This Row],[QuadSort]],Games[QuadSort],1),"")</f>
        <v/>
      </c>
      <c r="W30" s="5"/>
      <c r="X30" s="5"/>
    </row>
    <row r="31" spans="2:30" x14ac:dyDescent="0.35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 s="12"/>
      <c r="Q31" s="16"/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>_xlfn.XLOOKUP(Games[[#This Row],[Type]],Types[Type],Types[Pairs])</f>
        <v>1</v>
      </c>
      <c r="U31">
        <f ca="1">_xlfn.RANK.EQ(Games[[#This Row],[Sort]],Games[Sort],1)</f>
        <v>38</v>
      </c>
      <c r="V31" t="str">
        <f>IF(ISNUMBER(Games[[#This Row],[QuadRank]]),_xlfn.RANK.EQ(Games[[#This Row],[QuadSort]],Games[QuadSort],1),"")</f>
        <v/>
      </c>
      <c r="W31" s="5" t="s">
        <v>52</v>
      </c>
      <c r="X31" s="5"/>
    </row>
    <row r="32" spans="2:30" x14ac:dyDescent="0.35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 s="12"/>
      <c r="Q32" s="16"/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>_xlfn.XLOOKUP(Games[[#This Row],[Type]],Types[Type],Types[Pairs])</f>
        <v>2</v>
      </c>
      <c r="U32">
        <f ca="1">_xlfn.RANK.EQ(Games[[#This Row],[Sort]],Games[Sort],1)</f>
        <v>11</v>
      </c>
      <c r="V32" t="str">
        <f>IF(ISNUMBER(Games[[#This Row],[QuadRank]]),_xlfn.RANK.EQ(Games[[#This Row],[QuadSort]],Games[QuadSort],1),"")</f>
        <v/>
      </c>
      <c r="W32" s="5" t="s">
        <v>53</v>
      </c>
      <c r="X32" s="5"/>
    </row>
    <row r="33" spans="2:24" x14ac:dyDescent="0.35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 s="12"/>
      <c r="Q33" s="16"/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>_xlfn.XLOOKUP(Games[[#This Row],[Type]],Types[Type],Types[Pairs])</f>
        <v>2</v>
      </c>
      <c r="U33">
        <f ca="1">_xlfn.RANK.EQ(Games[[#This Row],[Sort]],Games[Sort],1)</f>
        <v>72</v>
      </c>
      <c r="V33" t="str">
        <f>IF(ISNUMBER(Games[[#This Row],[QuadRank]]),_xlfn.RANK.EQ(Games[[#This Row],[QuadSort]],Games[QuadSort],1),"")</f>
        <v/>
      </c>
      <c r="W33" s="5" t="s">
        <v>54</v>
      </c>
      <c r="X33" s="5"/>
    </row>
    <row r="34" spans="2:24" x14ac:dyDescent="0.35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 s="12"/>
      <c r="Q34" s="16"/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>_xlfn.XLOOKUP(Games[[#This Row],[Type]],Types[Type],Types[Pairs])</f>
        <v>2</v>
      </c>
      <c r="U34">
        <f ca="1">_xlfn.RANK.EQ(Games[[#This Row],[Sort]],Games[Sort],1)</f>
        <v>77</v>
      </c>
      <c r="V34" t="str">
        <f>IF(ISNUMBER(Games[[#This Row],[QuadRank]]),_xlfn.RANK.EQ(Games[[#This Row],[QuadSort]],Games[QuadSort],1),"")</f>
        <v/>
      </c>
      <c r="W34" s="5"/>
      <c r="X34" s="5"/>
    </row>
    <row r="35" spans="2:24" x14ac:dyDescent="0.35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 s="12"/>
      <c r="Q35" s="16"/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>_xlfn.XLOOKUP(Games[[#This Row],[Type]],Types[Type],Types[Pairs])</f>
        <v>2</v>
      </c>
      <c r="U35">
        <f ca="1">_xlfn.RANK.EQ(Games[[#This Row],[Sort]],Games[Sort],1)</f>
        <v>57</v>
      </c>
      <c r="V35" t="str">
        <f>IF(ISNUMBER(Games[[#This Row],[QuadRank]]),_xlfn.RANK.EQ(Games[[#This Row],[QuadSort]],Games[QuadSort],1),"")</f>
        <v/>
      </c>
      <c r="W35" s="5"/>
      <c r="X35" s="5"/>
    </row>
    <row r="36" spans="2:24" x14ac:dyDescent="0.35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 s="12"/>
      <c r="Q36" s="16"/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>_xlfn.XLOOKUP(Games[[#This Row],[Type]],Types[Type],Types[Pairs])</f>
        <v>2</v>
      </c>
      <c r="U36">
        <f ca="1">_xlfn.RANK.EQ(Games[[#This Row],[Sort]],Games[Sort],1)</f>
        <v>26</v>
      </c>
      <c r="V36" t="str">
        <f>IF(ISNUMBER(Games[[#This Row],[QuadRank]]),_xlfn.RANK.EQ(Games[[#This Row],[QuadSort]],Games[QuadSort],1),"")</f>
        <v/>
      </c>
      <c r="W36" s="5"/>
      <c r="X36" s="5"/>
    </row>
    <row r="37" spans="2:24" x14ac:dyDescent="0.35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 s="12"/>
      <c r="Q37" s="16"/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>_xlfn.XLOOKUP(Games[[#This Row],[Type]],Types[Type],Types[Pairs])</f>
        <v>2</v>
      </c>
      <c r="U37">
        <f ca="1">_xlfn.RANK.EQ(Games[[#This Row],[Sort]],Games[Sort],1)</f>
        <v>13</v>
      </c>
      <c r="V37" t="str">
        <f>IF(ISNUMBER(Games[[#This Row],[QuadRank]]),_xlfn.RANK.EQ(Games[[#This Row],[QuadSort]],Games[QuadSort],1),"")</f>
        <v/>
      </c>
      <c r="W37" s="5"/>
      <c r="X37" s="5"/>
    </row>
    <row r="38" spans="2:24" x14ac:dyDescent="0.35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 s="12"/>
      <c r="Q38" s="16"/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>_xlfn.XLOOKUP(Games[[#This Row],[Type]],Types[Type],Types[Pairs])</f>
        <v>1</v>
      </c>
      <c r="U38">
        <f ca="1">_xlfn.RANK.EQ(Games[[#This Row],[Sort]],Games[Sort],1)</f>
        <v>64</v>
      </c>
      <c r="V38" t="str">
        <f>IF(ISNUMBER(Games[[#This Row],[QuadRank]]),_xlfn.RANK.EQ(Games[[#This Row],[QuadSort]],Games[QuadSort],1),"")</f>
        <v/>
      </c>
      <c r="W38" s="5"/>
      <c r="X38" s="5"/>
    </row>
    <row r="39" spans="2:24" x14ac:dyDescent="0.35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 s="12"/>
      <c r="Q39" s="16"/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>_xlfn.XLOOKUP(Games[[#This Row],[Type]],Types[Type],Types[Pairs])</f>
        <v>1</v>
      </c>
      <c r="U39">
        <f ca="1">_xlfn.RANK.EQ(Games[[#This Row],[Sort]],Games[Sort],1)</f>
        <v>6</v>
      </c>
      <c r="V39" t="str">
        <f>IF(ISNUMBER(Games[[#This Row],[QuadRank]]),_xlfn.RANK.EQ(Games[[#This Row],[QuadSort]],Games[QuadSort],1),"")</f>
        <v/>
      </c>
      <c r="W39" s="5" t="s">
        <v>55</v>
      </c>
      <c r="X39" s="5"/>
    </row>
    <row r="40" spans="2:24" x14ac:dyDescent="0.35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 s="12"/>
      <c r="Q40" s="16"/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>_xlfn.XLOOKUP(Games[[#This Row],[Type]],Types[Type],Types[Pairs])</f>
        <v>1</v>
      </c>
      <c r="U40">
        <f ca="1">_xlfn.RANK.EQ(Games[[#This Row],[Sort]],Games[Sort],1)</f>
        <v>63</v>
      </c>
      <c r="V40" t="str">
        <f>IF(ISNUMBER(Games[[#This Row],[QuadRank]]),_xlfn.RANK.EQ(Games[[#This Row],[QuadSort]],Games[QuadSort],1),"")</f>
        <v/>
      </c>
      <c r="W40" s="5" t="s">
        <v>52</v>
      </c>
      <c r="X40" s="5"/>
    </row>
    <row r="41" spans="2:24" x14ac:dyDescent="0.35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 s="12"/>
      <c r="Q41" s="16"/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>_xlfn.XLOOKUP(Games[[#This Row],[Type]],Types[Type],Types[Pairs])</f>
        <v>2</v>
      </c>
      <c r="U41">
        <f ca="1">_xlfn.RANK.EQ(Games[[#This Row],[Sort]],Games[Sort],1)</f>
        <v>36</v>
      </c>
      <c r="V41" t="str">
        <f>IF(ISNUMBER(Games[[#This Row],[QuadRank]]),_xlfn.RANK.EQ(Games[[#This Row],[QuadSort]],Games[QuadSort],1),"")</f>
        <v/>
      </c>
      <c r="W41" s="5"/>
      <c r="X41" s="5"/>
    </row>
    <row r="42" spans="2:24" x14ac:dyDescent="0.35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 s="12"/>
      <c r="Q42" s="16"/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>_xlfn.XLOOKUP(Games[[#This Row],[Type]],Types[Type],Types[Pairs])</f>
        <v>2</v>
      </c>
      <c r="U42">
        <f ca="1">_xlfn.RANK.EQ(Games[[#This Row],[Sort]],Games[Sort],1)</f>
        <v>12</v>
      </c>
      <c r="V42" t="str">
        <f>IF(ISNUMBER(Games[[#This Row],[QuadRank]]),_xlfn.RANK.EQ(Games[[#This Row],[QuadSort]],Games[QuadSort],1),"")</f>
        <v/>
      </c>
      <c r="W42" s="5"/>
      <c r="X42" s="5"/>
    </row>
    <row r="43" spans="2:24" x14ac:dyDescent="0.35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 s="12"/>
      <c r="Q43" s="16"/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>_xlfn.XLOOKUP(Games[[#This Row],[Type]],Types[Type],Types[Pairs])</f>
        <v>2</v>
      </c>
      <c r="U43">
        <f ca="1">_xlfn.RANK.EQ(Games[[#This Row],[Sort]],Games[Sort],1)</f>
        <v>19</v>
      </c>
      <c r="V43" t="str">
        <f>IF(ISNUMBER(Games[[#This Row],[QuadRank]]),_xlfn.RANK.EQ(Games[[#This Row],[QuadSort]],Games[QuadSort],1),"")</f>
        <v/>
      </c>
      <c r="W43" s="5" t="s">
        <v>56</v>
      </c>
      <c r="X43" s="5"/>
    </row>
    <row r="44" spans="2:24" x14ac:dyDescent="0.35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 s="12"/>
      <c r="Q44" s="16"/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>_xlfn.XLOOKUP(Games[[#This Row],[Type]],Types[Type],Types[Pairs])</f>
        <v>1</v>
      </c>
      <c r="U44">
        <f ca="1">_xlfn.RANK.EQ(Games[[#This Row],[Sort]],Games[Sort],1)</f>
        <v>78</v>
      </c>
      <c r="V44" t="str">
        <f>IF(ISNUMBER(Games[[#This Row],[QuadRank]]),_xlfn.RANK.EQ(Games[[#This Row],[QuadSort]],Games[QuadSort],1),"")</f>
        <v/>
      </c>
      <c r="W44" s="5" t="s">
        <v>56</v>
      </c>
      <c r="X44" s="5"/>
    </row>
    <row r="45" spans="2:24" x14ac:dyDescent="0.35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 s="12"/>
      <c r="Q45" s="16"/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>_xlfn.XLOOKUP(Games[[#This Row],[Type]],Types[Type],Types[Pairs])</f>
        <v>2</v>
      </c>
      <c r="U45">
        <f ca="1">_xlfn.RANK.EQ(Games[[#This Row],[Sort]],Games[Sort],1)</f>
        <v>23</v>
      </c>
      <c r="V45" t="str">
        <f>IF(ISNUMBER(Games[[#This Row],[QuadRank]]),_xlfn.RANK.EQ(Games[[#This Row],[QuadSort]],Games[QuadSort],1),"")</f>
        <v/>
      </c>
      <c r="W45" s="5" t="s">
        <v>56</v>
      </c>
      <c r="X45" s="5"/>
    </row>
    <row r="46" spans="2:24" x14ac:dyDescent="0.35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 s="12"/>
      <c r="Q46" s="16"/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>_xlfn.XLOOKUP(Games[[#This Row],[Type]],Types[Type],Types[Pairs])</f>
        <v>2</v>
      </c>
      <c r="U46">
        <f ca="1">_xlfn.RANK.EQ(Games[[#This Row],[Sort]],Games[Sort],1)</f>
        <v>56</v>
      </c>
      <c r="V46" t="str">
        <f>IF(ISNUMBER(Games[[#This Row],[QuadRank]]),_xlfn.RANK.EQ(Games[[#This Row],[QuadSort]],Games[QuadSort],1),"")</f>
        <v/>
      </c>
      <c r="W46" s="5" t="s">
        <v>52</v>
      </c>
      <c r="X46" s="5"/>
    </row>
    <row r="47" spans="2:24" x14ac:dyDescent="0.35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 s="12"/>
      <c r="Q47" s="16"/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>_xlfn.XLOOKUP(Games[[#This Row],[Type]],Types[Type],Types[Pairs])</f>
        <v>2</v>
      </c>
      <c r="U47">
        <f ca="1">_xlfn.RANK.EQ(Games[[#This Row],[Sort]],Games[Sort],1)</f>
        <v>24</v>
      </c>
      <c r="V47" t="str">
        <f>IF(ISNUMBER(Games[[#This Row],[QuadRank]]),_xlfn.RANK.EQ(Games[[#This Row],[QuadSort]],Games[QuadSort],1),"")</f>
        <v/>
      </c>
      <c r="W47" s="5" t="s">
        <v>57</v>
      </c>
      <c r="X47" s="5"/>
    </row>
    <row r="48" spans="2:24" x14ac:dyDescent="0.35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 s="12"/>
      <c r="Q48" s="16"/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>_xlfn.XLOOKUP(Games[[#This Row],[Type]],Types[Type],Types[Pairs])</f>
        <v>2</v>
      </c>
      <c r="U48">
        <f ca="1">_xlfn.RANK.EQ(Games[[#This Row],[Sort]],Games[Sort],1)</f>
        <v>60</v>
      </c>
      <c r="V48" t="str">
        <f>IF(ISNUMBER(Games[[#This Row],[QuadRank]]),_xlfn.RANK.EQ(Games[[#This Row],[QuadSort]],Games[QuadSort],1),"")</f>
        <v/>
      </c>
      <c r="W48" s="5"/>
      <c r="X48" s="5"/>
    </row>
    <row r="49" spans="2:24" x14ac:dyDescent="0.35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 s="12"/>
      <c r="Q49" s="16"/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>_xlfn.XLOOKUP(Games[[#This Row],[Type]],Types[Type],Types[Pairs])</f>
        <v>2</v>
      </c>
      <c r="U49">
        <f ca="1">_xlfn.RANK.EQ(Games[[#This Row],[Sort]],Games[Sort],1)</f>
        <v>5</v>
      </c>
      <c r="V49" t="str">
        <f>IF(ISNUMBER(Games[[#This Row],[QuadRank]]),_xlfn.RANK.EQ(Games[[#This Row],[QuadSort]],Games[QuadSort],1),"")</f>
        <v/>
      </c>
      <c r="W49" s="5" t="s">
        <v>52</v>
      </c>
      <c r="X49" s="5"/>
    </row>
    <row r="50" spans="2:24" x14ac:dyDescent="0.35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 s="12"/>
      <c r="Q50" s="16"/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>_xlfn.XLOOKUP(Games[[#This Row],[Type]],Types[Type],Types[Pairs])</f>
        <v>2</v>
      </c>
      <c r="U50">
        <f ca="1">_xlfn.RANK.EQ(Games[[#This Row],[Sort]],Games[Sort],1)</f>
        <v>27</v>
      </c>
      <c r="V50" t="str">
        <f>IF(ISNUMBER(Games[[#This Row],[QuadRank]]),_xlfn.RANK.EQ(Games[[#This Row],[QuadSort]],Games[QuadSort],1),"")</f>
        <v/>
      </c>
      <c r="W50" s="5"/>
      <c r="X50" s="5"/>
    </row>
    <row r="51" spans="2:24" x14ac:dyDescent="0.35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 s="12"/>
      <c r="Q51" s="16"/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>_xlfn.XLOOKUP(Games[[#This Row],[Type]],Types[Type],Types[Pairs])</f>
        <v>2</v>
      </c>
      <c r="U51">
        <f ca="1">_xlfn.RANK.EQ(Games[[#This Row],[Sort]],Games[Sort],1)</f>
        <v>43</v>
      </c>
      <c r="V51" t="str">
        <f>IF(ISNUMBER(Games[[#This Row],[QuadRank]]),_xlfn.RANK.EQ(Games[[#This Row],[QuadSort]],Games[QuadSort],1),"")</f>
        <v/>
      </c>
      <c r="W51" s="5" t="s">
        <v>58</v>
      </c>
      <c r="X51" s="5"/>
    </row>
    <row r="52" spans="2:24" x14ac:dyDescent="0.35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 s="12"/>
      <c r="Q52" s="16"/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>_xlfn.XLOOKUP(Games[[#This Row],[Type]],Types[Type],Types[Pairs])</f>
        <v>2</v>
      </c>
      <c r="U52">
        <f ca="1">_xlfn.RANK.EQ(Games[[#This Row],[Sort]],Games[Sort],1)</f>
        <v>53</v>
      </c>
      <c r="V52" t="str">
        <f>IF(ISNUMBER(Games[[#This Row],[QuadRank]]),_xlfn.RANK.EQ(Games[[#This Row],[QuadSort]],Games[QuadSort],1),"")</f>
        <v/>
      </c>
      <c r="W52" s="5"/>
      <c r="X52" s="5"/>
    </row>
    <row r="53" spans="2:24" x14ac:dyDescent="0.35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 s="12"/>
      <c r="Q53" s="16"/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>_xlfn.XLOOKUP(Games[[#This Row],[Type]],Types[Type],Types[Pairs])</f>
        <v>2</v>
      </c>
      <c r="U53">
        <f ca="1">_xlfn.RANK.EQ(Games[[#This Row],[Sort]],Games[Sort],1)</f>
        <v>18</v>
      </c>
      <c r="V53" t="str">
        <f>IF(ISNUMBER(Games[[#This Row],[QuadRank]]),_xlfn.RANK.EQ(Games[[#This Row],[QuadSort]],Games[QuadSort],1),"")</f>
        <v/>
      </c>
      <c r="W53" s="5"/>
      <c r="X53" s="5"/>
    </row>
    <row r="54" spans="2:24" x14ac:dyDescent="0.35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 s="12"/>
      <c r="Q54" s="16"/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>_xlfn.XLOOKUP(Games[[#This Row],[Type]],Types[Type],Types[Pairs])</f>
        <v>1</v>
      </c>
      <c r="U54">
        <f ca="1">_xlfn.RANK.EQ(Games[[#This Row],[Sort]],Games[Sort],1)</f>
        <v>79</v>
      </c>
      <c r="V54" t="str">
        <f>IF(ISNUMBER(Games[[#This Row],[QuadRank]]),_xlfn.RANK.EQ(Games[[#This Row],[QuadSort]],Games[QuadSort],1),"")</f>
        <v/>
      </c>
      <c r="W54" s="5"/>
      <c r="X54" s="5"/>
    </row>
    <row r="55" spans="2:24" x14ac:dyDescent="0.35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 s="12"/>
      <c r="Q55" s="16"/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>_xlfn.XLOOKUP(Games[[#This Row],[Type]],Types[Type],Types[Pairs])</f>
        <v>2</v>
      </c>
      <c r="U55">
        <f ca="1">_xlfn.RANK.EQ(Games[[#This Row],[Sort]],Games[Sort],1)</f>
        <v>58</v>
      </c>
      <c r="V55" t="str">
        <f>IF(ISNUMBER(Games[[#This Row],[QuadRank]]),_xlfn.RANK.EQ(Games[[#This Row],[QuadSort]],Games[QuadSort],1),"")</f>
        <v/>
      </c>
      <c r="W55" s="5" t="s">
        <v>59</v>
      </c>
      <c r="X55" s="5"/>
    </row>
    <row r="56" spans="2:24" x14ac:dyDescent="0.35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 s="12"/>
      <c r="Q56" s="16"/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>_xlfn.XLOOKUP(Games[[#This Row],[Type]],Types[Type],Types[Pairs])</f>
        <v>2</v>
      </c>
      <c r="U56">
        <f ca="1">_xlfn.RANK.EQ(Games[[#This Row],[Sort]],Games[Sort],1)</f>
        <v>30</v>
      </c>
      <c r="V56" t="str">
        <f>IF(ISNUMBER(Games[[#This Row],[QuadRank]]),_xlfn.RANK.EQ(Games[[#This Row],[QuadSort]],Games[QuadSort],1),"")</f>
        <v/>
      </c>
      <c r="W56" s="5" t="s">
        <v>60</v>
      </c>
      <c r="X56" s="5"/>
    </row>
    <row r="57" spans="2:24" x14ac:dyDescent="0.35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 s="12"/>
      <c r="Q57" s="16"/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>_xlfn.XLOOKUP(Games[[#This Row],[Type]],Types[Type],Types[Pairs])</f>
        <v>2</v>
      </c>
      <c r="U57">
        <f ca="1">_xlfn.RANK.EQ(Games[[#This Row],[Sort]],Games[Sort],1)</f>
        <v>3</v>
      </c>
      <c r="V57" t="str">
        <f>IF(ISNUMBER(Games[[#This Row],[QuadRank]]),_xlfn.RANK.EQ(Games[[#This Row],[QuadSort]],Games[QuadSort],1),"")</f>
        <v/>
      </c>
      <c r="W57" s="5"/>
      <c r="X57" s="5"/>
    </row>
    <row r="58" spans="2:24" x14ac:dyDescent="0.35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 s="12"/>
      <c r="Q58" s="16"/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>_xlfn.XLOOKUP(Games[[#This Row],[Type]],Types[Type],Types[Pairs])</f>
        <v>2</v>
      </c>
      <c r="U58">
        <f ca="1">_xlfn.RANK.EQ(Games[[#This Row],[Sort]],Games[Sort],1)</f>
        <v>70</v>
      </c>
      <c r="V58" t="str">
        <f>IF(ISNUMBER(Games[[#This Row],[QuadRank]]),_xlfn.RANK.EQ(Games[[#This Row],[QuadSort]],Games[QuadSort],1),"")</f>
        <v/>
      </c>
      <c r="W58" s="5"/>
      <c r="X58" s="5"/>
    </row>
    <row r="59" spans="2:24" x14ac:dyDescent="0.35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 s="12"/>
      <c r="Q59" s="16"/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>_xlfn.XLOOKUP(Games[[#This Row],[Type]],Types[Type],Types[Pairs])</f>
        <v>2</v>
      </c>
      <c r="U59">
        <f ca="1">_xlfn.RANK.EQ(Games[[#This Row],[Sort]],Games[Sort],1)</f>
        <v>46</v>
      </c>
      <c r="V59" t="str">
        <f>IF(ISNUMBER(Games[[#This Row],[QuadRank]]),_xlfn.RANK.EQ(Games[[#This Row],[QuadSort]],Games[QuadSort],1),"")</f>
        <v/>
      </c>
      <c r="W59" s="5"/>
      <c r="X59" s="5"/>
    </row>
    <row r="60" spans="2:24" x14ac:dyDescent="0.35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 s="12"/>
      <c r="Q60" s="16"/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>_xlfn.XLOOKUP(Games[[#This Row],[Type]],Types[Type],Types[Pairs])</f>
        <v>2</v>
      </c>
      <c r="U60">
        <f ca="1">_xlfn.RANK.EQ(Games[[#This Row],[Sort]],Games[Sort],1)</f>
        <v>62</v>
      </c>
      <c r="V60" t="str">
        <f>IF(ISNUMBER(Games[[#This Row],[QuadRank]]),_xlfn.RANK.EQ(Games[[#This Row],[QuadSort]],Games[QuadSort],1),"")</f>
        <v/>
      </c>
      <c r="W60" s="5"/>
      <c r="X60" s="5"/>
    </row>
    <row r="61" spans="2:24" x14ac:dyDescent="0.35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 s="12"/>
      <c r="Q61" s="16"/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>_xlfn.XLOOKUP(Games[[#This Row],[Type]],Types[Type],Types[Pairs])</f>
        <v>2</v>
      </c>
      <c r="U61">
        <f ca="1">_xlfn.RANK.EQ(Games[[#This Row],[Sort]],Games[Sort],1)</f>
        <v>25</v>
      </c>
      <c r="V61" t="str">
        <f>IF(ISNUMBER(Games[[#This Row],[QuadRank]]),_xlfn.RANK.EQ(Games[[#This Row],[QuadSort]],Games[QuadSort],1),"")</f>
        <v/>
      </c>
      <c r="W61" s="5"/>
      <c r="X61" s="5"/>
    </row>
    <row r="62" spans="2:24" x14ac:dyDescent="0.35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 s="12"/>
      <c r="Q62" s="16"/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>_xlfn.XLOOKUP(Games[[#This Row],[Type]],Types[Type],Types[Pairs])</f>
        <v>2</v>
      </c>
      <c r="U62">
        <f ca="1">_xlfn.RANK.EQ(Games[[#This Row],[Sort]],Games[Sort],1)</f>
        <v>39</v>
      </c>
      <c r="V62" t="str">
        <f>IF(ISNUMBER(Games[[#This Row],[QuadRank]]),_xlfn.RANK.EQ(Games[[#This Row],[QuadSort]],Games[QuadSort],1),"")</f>
        <v/>
      </c>
      <c r="W62" s="5" t="s">
        <v>27</v>
      </c>
      <c r="X62" s="5"/>
    </row>
    <row r="63" spans="2:24" x14ac:dyDescent="0.35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 s="12"/>
      <c r="Q63" s="16"/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>_xlfn.XLOOKUP(Games[[#This Row],[Type]],Types[Type],Types[Pairs])</f>
        <v>2</v>
      </c>
      <c r="U63">
        <f ca="1">_xlfn.RANK.EQ(Games[[#This Row],[Sort]],Games[Sort],1)</f>
        <v>67</v>
      </c>
      <c r="V63" t="str">
        <f>IF(ISNUMBER(Games[[#This Row],[QuadRank]]),_xlfn.RANK.EQ(Games[[#This Row],[QuadSort]],Games[QuadSort],1),"")</f>
        <v/>
      </c>
      <c r="W63" s="5" t="s">
        <v>61</v>
      </c>
      <c r="X63" s="5"/>
    </row>
    <row r="64" spans="2:24" x14ac:dyDescent="0.35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 s="12"/>
      <c r="Q64" s="16"/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>_xlfn.XLOOKUP(Games[[#This Row],[Type]],Types[Type],Types[Pairs])</f>
        <v>1</v>
      </c>
      <c r="U64">
        <f ca="1">_xlfn.RANK.EQ(Games[[#This Row],[Sort]],Games[Sort],1)</f>
        <v>74</v>
      </c>
      <c r="V64" t="str">
        <f>IF(ISNUMBER(Games[[#This Row],[QuadRank]]),_xlfn.RANK.EQ(Games[[#This Row],[QuadSort]],Games[QuadSort],1),"")</f>
        <v/>
      </c>
      <c r="W64" s="5" t="s">
        <v>52</v>
      </c>
      <c r="X64" s="5"/>
    </row>
    <row r="65" spans="10:24" x14ac:dyDescent="0.35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 s="12"/>
      <c r="Q65" s="16"/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>_xlfn.XLOOKUP(Games[[#This Row],[Type]],Types[Type],Types[Pairs])</f>
        <v>1</v>
      </c>
      <c r="U65">
        <f ca="1">_xlfn.RANK.EQ(Games[[#This Row],[Sort]],Games[Sort],1)</f>
        <v>1</v>
      </c>
      <c r="V65" t="str">
        <f>IF(ISNUMBER(Games[[#This Row],[QuadRank]]),_xlfn.RANK.EQ(Games[[#This Row],[QuadSort]],Games[QuadSort],1),"")</f>
        <v/>
      </c>
      <c r="W65" s="5"/>
      <c r="X65" s="5"/>
    </row>
    <row r="66" spans="10:24" x14ac:dyDescent="0.35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 s="12"/>
      <c r="Q66" s="16"/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>_xlfn.XLOOKUP(Games[[#This Row],[Type]],Types[Type],Types[Pairs])</f>
        <v>1</v>
      </c>
      <c r="U66">
        <f ca="1">_xlfn.RANK.EQ(Games[[#This Row],[Sort]],Games[Sort],1)</f>
        <v>22</v>
      </c>
      <c r="V66" t="str">
        <f>IF(ISNUMBER(Games[[#This Row],[QuadRank]]),_xlfn.RANK.EQ(Games[[#This Row],[QuadSort]],Games[QuadSort],1),"")</f>
        <v/>
      </c>
      <c r="W66" s="5" t="s">
        <v>62</v>
      </c>
      <c r="X66" s="5"/>
    </row>
    <row r="67" spans="10:24" x14ac:dyDescent="0.35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 s="12"/>
      <c r="Q67" s="16"/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>_xlfn.XLOOKUP(Games[[#This Row],[Type]],Types[Type],Types[Pairs])</f>
        <v>1</v>
      </c>
      <c r="U67">
        <f ca="1">_xlfn.RANK.EQ(Games[[#This Row],[Sort]],Games[Sort],1)</f>
        <v>37</v>
      </c>
      <c r="V67" t="str">
        <f>IF(ISNUMBER(Games[[#This Row],[QuadRank]]),_xlfn.RANK.EQ(Games[[#This Row],[QuadSort]],Games[QuadSort],1),"")</f>
        <v/>
      </c>
      <c r="W67" s="5" t="s">
        <v>63</v>
      </c>
      <c r="X67" s="5"/>
    </row>
    <row r="68" spans="10:24" x14ac:dyDescent="0.35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 s="12"/>
      <c r="Q68" s="16"/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>_xlfn.XLOOKUP(Games[[#This Row],[Type]],Types[Type],Types[Pairs])</f>
        <v>1</v>
      </c>
      <c r="U68">
        <f ca="1">_xlfn.RANK.EQ(Games[[#This Row],[Sort]],Games[Sort],1)</f>
        <v>9</v>
      </c>
      <c r="V68" t="str">
        <f>IF(ISNUMBER(Games[[#This Row],[QuadRank]]),_xlfn.RANK.EQ(Games[[#This Row],[QuadSort]],Games[QuadSort],1),"")</f>
        <v/>
      </c>
      <c r="W68" s="5"/>
      <c r="X68" s="5"/>
    </row>
    <row r="69" spans="10:24" x14ac:dyDescent="0.35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 s="12"/>
      <c r="Q69" s="16"/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>_xlfn.XLOOKUP(Games[[#This Row],[Type]],Types[Type],Types[Pairs])</f>
        <v>1</v>
      </c>
      <c r="U69">
        <f ca="1">_xlfn.RANK.EQ(Games[[#This Row],[Sort]],Games[Sort],1)</f>
        <v>21</v>
      </c>
      <c r="V69" t="str">
        <f>IF(ISNUMBER(Games[[#This Row],[QuadRank]]),_xlfn.RANK.EQ(Games[[#This Row],[QuadSort]],Games[QuadSort],1),"")</f>
        <v/>
      </c>
      <c r="W69" s="5"/>
      <c r="X69" s="5"/>
    </row>
    <row r="70" spans="10:24" x14ac:dyDescent="0.35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 s="12"/>
      <c r="Q70" s="16"/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>_xlfn.XLOOKUP(Games[[#This Row],[Type]],Types[Type],Types[Pairs])</f>
        <v>2</v>
      </c>
      <c r="U70">
        <f ca="1">_xlfn.RANK.EQ(Games[[#This Row],[Sort]],Games[Sort],1)</f>
        <v>14</v>
      </c>
      <c r="V70" t="str">
        <f>IF(ISNUMBER(Games[[#This Row],[QuadRank]]),_xlfn.RANK.EQ(Games[[#This Row],[QuadSort]],Games[QuadSort],1),"")</f>
        <v/>
      </c>
      <c r="W70" s="5"/>
      <c r="X70" s="5"/>
    </row>
    <row r="71" spans="10:24" x14ac:dyDescent="0.35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 s="12"/>
      <c r="Q71" s="16"/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>_xlfn.XLOOKUP(Games[[#This Row],[Type]],Types[Type],Types[Pairs])</f>
        <v>2</v>
      </c>
      <c r="U71">
        <f ca="1">_xlfn.RANK.EQ(Games[[#This Row],[Sort]],Games[Sort],1)</f>
        <v>41</v>
      </c>
      <c r="V71" t="str">
        <f>IF(ISNUMBER(Games[[#This Row],[QuadRank]]),_xlfn.RANK.EQ(Games[[#This Row],[QuadSort]],Games[QuadSort],1),"")</f>
        <v/>
      </c>
      <c r="W71" s="5" t="s">
        <v>64</v>
      </c>
      <c r="X71" s="5"/>
    </row>
    <row r="72" spans="10:24" x14ac:dyDescent="0.35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 s="12"/>
      <c r="Q72" s="16"/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>_xlfn.XLOOKUP(Games[[#This Row],[Type]],Types[Type],Types[Pairs])</f>
        <v>2</v>
      </c>
      <c r="U72">
        <f ca="1">_xlfn.RANK.EQ(Games[[#This Row],[Sort]],Games[Sort],1)</f>
        <v>42</v>
      </c>
      <c r="V72" t="str">
        <f>IF(ISNUMBER(Games[[#This Row],[QuadRank]]),_xlfn.RANK.EQ(Games[[#This Row],[QuadSort]],Games[QuadSort],1),"")</f>
        <v/>
      </c>
      <c r="W72" s="5" t="s">
        <v>65</v>
      </c>
      <c r="X72" s="5"/>
    </row>
    <row r="73" spans="10:24" x14ac:dyDescent="0.35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 s="12"/>
      <c r="Q73" s="16"/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>_xlfn.XLOOKUP(Games[[#This Row],[Type]],Types[Type],Types[Pairs])</f>
        <v>2</v>
      </c>
      <c r="U73">
        <f ca="1">_xlfn.RANK.EQ(Games[[#This Row],[Sort]],Games[Sort],1)</f>
        <v>68</v>
      </c>
      <c r="V73" t="str">
        <f>IF(ISNUMBER(Games[[#This Row],[QuadRank]]),_xlfn.RANK.EQ(Games[[#This Row],[QuadSort]],Games[QuadSort],1),"")</f>
        <v/>
      </c>
      <c r="W73" s="5" t="s">
        <v>66</v>
      </c>
      <c r="X73" s="5"/>
    </row>
    <row r="74" spans="10:24" x14ac:dyDescent="0.35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 s="12"/>
      <c r="Q74" s="16"/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>_xlfn.XLOOKUP(Games[[#This Row],[Type]],Types[Type],Types[Pairs])</f>
        <v>1</v>
      </c>
      <c r="U74">
        <f ca="1">_xlfn.RANK.EQ(Games[[#This Row],[Sort]],Games[Sort],1)</f>
        <v>48</v>
      </c>
      <c r="V74" t="str">
        <f>IF(ISNUMBER(Games[[#This Row],[QuadRank]]),_xlfn.RANK.EQ(Games[[#This Row],[QuadSort]],Games[QuadSort],1),"")</f>
        <v/>
      </c>
      <c r="W74" s="5" t="s">
        <v>67</v>
      </c>
      <c r="X74" s="5"/>
    </row>
    <row r="75" spans="10:24" x14ac:dyDescent="0.35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 s="12"/>
      <c r="Q75" s="16"/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>_xlfn.XLOOKUP(Games[[#This Row],[Type]],Types[Type],Types[Pairs])</f>
        <v>1</v>
      </c>
      <c r="U75">
        <f ca="1">_xlfn.RANK.EQ(Games[[#This Row],[Sort]],Games[Sort],1)</f>
        <v>15</v>
      </c>
      <c r="V75" t="str">
        <f>IF(ISNUMBER(Games[[#This Row],[QuadRank]]),_xlfn.RANK.EQ(Games[[#This Row],[QuadSort]],Games[QuadSort],1),"")</f>
        <v/>
      </c>
      <c r="W75" s="5" t="s">
        <v>67</v>
      </c>
      <c r="X75" s="5"/>
    </row>
    <row r="76" spans="10:24" x14ac:dyDescent="0.35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 s="12"/>
      <c r="Q76" s="16"/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>_xlfn.XLOOKUP(Games[[#This Row],[Type]],Types[Type],Types[Pairs])</f>
        <v>1</v>
      </c>
      <c r="U76">
        <f ca="1">_xlfn.RANK.EQ(Games[[#This Row],[Sort]],Games[Sort],1)</f>
        <v>49</v>
      </c>
      <c r="V76" t="str">
        <f>IF(ISNUMBER(Games[[#This Row],[QuadRank]]),_xlfn.RANK.EQ(Games[[#This Row],[QuadSort]],Games[QuadSort],1),"")</f>
        <v/>
      </c>
      <c r="W76" s="5" t="s">
        <v>67</v>
      </c>
      <c r="X76" s="5"/>
    </row>
    <row r="77" spans="10:24" x14ac:dyDescent="0.35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 s="12"/>
      <c r="Q77" s="16"/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>_xlfn.XLOOKUP(Games[[#This Row],[Type]],Types[Type],Types[Pairs])</f>
        <v>2</v>
      </c>
      <c r="U77">
        <f ca="1">_xlfn.RANK.EQ(Games[[#This Row],[Sort]],Games[Sort],1)</f>
        <v>10</v>
      </c>
      <c r="V77" t="str">
        <f>IF(ISNUMBER(Games[[#This Row],[QuadRank]]),_xlfn.RANK.EQ(Games[[#This Row],[QuadSort]],Games[QuadSort],1),"")</f>
        <v/>
      </c>
      <c r="W77" s="5"/>
      <c r="X77" s="5"/>
    </row>
    <row r="78" spans="10:24" x14ac:dyDescent="0.35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 s="12"/>
      <c r="Q78" s="16"/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>_xlfn.XLOOKUP(Games[[#This Row],[Type]],Types[Type],Types[Pairs])</f>
        <v>2</v>
      </c>
      <c r="U78">
        <f ca="1">_xlfn.RANK.EQ(Games[[#This Row],[Sort]],Games[Sort],1)</f>
        <v>33</v>
      </c>
      <c r="V78" t="str">
        <f>IF(ISNUMBER(Games[[#This Row],[QuadRank]]),_xlfn.RANK.EQ(Games[[#This Row],[QuadSort]],Games[QuadSort],1),"")</f>
        <v/>
      </c>
      <c r="W78" s="5"/>
      <c r="X78" s="5"/>
    </row>
    <row r="79" spans="10:24" x14ac:dyDescent="0.35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 s="12"/>
      <c r="Q79" s="16"/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>_xlfn.XLOOKUP(Games[[#This Row],[Type]],Types[Type],Types[Pairs])</f>
        <v>2</v>
      </c>
      <c r="U79">
        <f ca="1">_xlfn.RANK.EQ(Games[[#This Row],[Sort]],Games[Sort],1)</f>
        <v>44</v>
      </c>
      <c r="V79" t="str">
        <f>IF(ISNUMBER(Games[[#This Row],[QuadRank]]),_xlfn.RANK.EQ(Games[[#This Row],[QuadSort]],Games[QuadSort],1),"")</f>
        <v/>
      </c>
      <c r="W79" s="5"/>
      <c r="X79" s="5"/>
    </row>
    <row r="80" spans="10:24" x14ac:dyDescent="0.35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 s="12"/>
      <c r="Q80" s="16"/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>_xlfn.XLOOKUP(Games[[#This Row],[Type]],Types[Type],Types[Pairs])</f>
        <v>2</v>
      </c>
      <c r="U80">
        <f ca="1">_xlfn.RANK.EQ(Games[[#This Row],[Sort]],Games[Sort],1)</f>
        <v>59</v>
      </c>
      <c r="V80" t="str">
        <f>IF(ISNUMBER(Games[[#This Row],[QuadRank]]),_xlfn.RANK.EQ(Games[[#This Row],[QuadSort]],Games[QuadSort],1),"")</f>
        <v/>
      </c>
      <c r="W80" s="5" t="s">
        <v>52</v>
      </c>
      <c r="X80" s="5"/>
    </row>
    <row r="81" spans="10:24" x14ac:dyDescent="0.35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 s="12"/>
      <c r="Q81" s="16"/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>_xlfn.XLOOKUP(Games[[#This Row],[Type]],Types[Type],Types[Pairs])</f>
        <v>2</v>
      </c>
      <c r="U81">
        <f ca="1">_xlfn.RANK.EQ(Games[[#This Row],[Sort]],Games[Sort],1)</f>
        <v>66</v>
      </c>
      <c r="V81" t="str">
        <f>IF(ISNUMBER(Games[[#This Row],[QuadRank]]),_xlfn.RANK.EQ(Games[[#This Row],[QuadSort]],Games[QuadSort],1),"")</f>
        <v/>
      </c>
      <c r="W81" s="5" t="s">
        <v>68</v>
      </c>
      <c r="X81" s="5"/>
    </row>
    <row r="82" spans="10:24" x14ac:dyDescent="0.35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 s="12"/>
      <c r="Q82" s="16"/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>_xlfn.XLOOKUP(Games[[#This Row],[Type]],Types[Type],Types[Pairs])</f>
        <v>2</v>
      </c>
      <c r="U82">
        <f ca="1">_xlfn.RANK.EQ(Games[[#This Row],[Sort]],Games[Sort],1)</f>
        <v>81</v>
      </c>
      <c r="V82" t="str">
        <f>IF(ISNUMBER(Games[[#This Row],[QuadRank]]),_xlfn.RANK.EQ(Games[[#This Row],[QuadSort]],Games[QuadSort],1),"")</f>
        <v/>
      </c>
      <c r="W82" s="5"/>
      <c r="X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5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8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2026-09-20T00:14:46Z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