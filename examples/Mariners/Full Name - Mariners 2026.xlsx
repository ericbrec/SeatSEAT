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57B25115-A0A8-4DAE-AA82-F381D4C50E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<sst xmlns="http://schemas.openxmlformats.org/spreadsheetml/2006/main" count="273" uniqueCount="99">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</sst>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6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0" fontId="0" fillId="0" borderId="0" xfId="0" applyFill="1"/>
    <xf numFmtId="168" fontId="0" fillId="0" borderId="0" xfId="0" applyNumberFormat="1"/>
    <xf numFmtId="0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color rgb="FF9C0006"/>
      </font>
      <fill>
        <patternFill>
          <bgColor rgb="FFFFC7CE"/>
        </patternFill>
      </fill>
    </dxf>
    <dxf>
      <numFmt numFmtId="168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0"/>
    <tableColumn id="2" xr3:uid="{D785142C-C4FC-418F-A0C8-7745E2B467E4}" name="Price" dataDxfId="8" dataCellStyle="Currency" totalsRowCellStyle="Currency"/>
    <tableColumn id="3" xr3:uid="{F14FCFFA-E6B3-465B-BEC9-D1AFB23F6C0D}" name="Pairs"/>
    <tableColumn id="4" xr3:uid="{77C90207-35F5-4AB4-B4C2-39C4FABA9268}" name="Games" totalsRowFunction="sum" dataDxfId="4">
      <calculatedColumnFormula>COUNTIF(Games[Type],Types[[#This Row],[Type]])</calculatedColumnFormula>
    </tableColumn>
    <tableColumn id="5" xr3:uid="{B143CB75-DF50-4323-85C5-10526A2643E2}" name="Tickets" totalsRowFunction="sum" dataDxfId="3">
      <calculatedColumnFormula>Types[[#This Row],[Games]]*Types[[#This Row],[Pairs]]*2</calculatedColumnFormula>
    </tableColumn>
    <tableColumn id="6" xr3:uid="{1050CF1C-249D-4CE7-A143-304C5582C5BA}" name="Cost" totalsRowFunction="sum" dataDxfId="2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7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6">
      <calculatedColumnFormula>Names[[#This Row],[Pairs]]+Names[[#This Row],[Quads]]</calculatedColumnFormula>
    </tableColumn>
    <tableColumn id="5" xr3:uid="{352D40E4-D431-4ADD-8BC1-66192541A0D2}" name="Tickets" totalsRowFunction="sum" dataDxfId="5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V2">
        <f ca="1">_xlfn.RANK.EQ(Games[[#This Row],[Sort]],Games[Sort],1)</f>
        <v>80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V3">
        <f ca="1">_xlfn.RANK.EQ(Games[[#This Row],[Sort]],Games[Sort],1)</f>
        <v>50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V4">
        <f ca="1">_xlfn.RANK.EQ(Games[[#This Row],[Sort]],Games[Sort],1)</f>
        <v>69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V5">
        <f ca="1">_xlfn.RANK.EQ(Games[[#This Row],[Sort]],Games[Sort],1)</f>
        <v>45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V6">
        <f ca="1">_xlfn.RANK.EQ(Games[[#This Row],[Sort]],Games[Sort],1)</f>
        <v>7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V7">
        <f ca="1">_xlfn.RANK.EQ(Games[[#This Row],[Sort]],Games[Sort],1)</f>
        <v>65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V8">
        <f ca="1">_xlfn.RANK.EQ(Games[[#This Row],[Sort]],Games[Sort],1)</f>
        <v>8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V9">
        <f ca="1">_xlfn.RANK.EQ(Games[[#This Row],[Sort]],Games[Sort],1)</f>
        <v>51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V10">
        <f ca="1">_xlfn.RANK.EQ(Games[[#This Row],[Sort]],Games[Sort],1)</f>
        <v>16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V11">
        <f ca="1">_xlfn.RANK.EQ(Games[[#This Row],[Sort]],Games[Sort],1)</f>
        <v>52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V12">
        <f ca="1">_xlfn.RANK.EQ(Games[[#This Row],[Sort]],Games[Sort],1)</f>
        <v>17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V13">
        <f ca="1">_xlfn.RANK.EQ(Games[[#This Row],[Sort]],Games[Sort],1)</f>
        <v>34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V14">
        <f ca="1">_xlfn.RANK.EQ(Games[[#This Row],[Sort]],Games[Sort],1)</f>
        <v>40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V15">
        <f ca="1">_xlfn.RANK.EQ(Games[[#This Row],[Sort]],Games[Sort],1)</f>
        <v>20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V16">
        <f ca="1">_xlfn.RANK.EQ(Games[[#This Row],[Sort]],Games[Sort],1)</f>
        <v>28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V17">
        <f ca="1">_xlfn.RANK.EQ(Games[[#This Row],[Sort]],Games[Sort],1)</f>
        <v>2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V18">
        <f ca="1">_xlfn.RANK.EQ(Games[[#This Row],[Sort]],Games[Sort],1)</f>
        <v>29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V19">
        <f ca="1">_xlfn.RANK.EQ(Games[[#This Row],[Sort]],Games[Sort],1)</f>
        <v>61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V20">
        <f ca="1">_xlfn.RANK.EQ(Games[[#This Row],[Sort]],Games[Sort],1)</f>
        <v>47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V21">
        <f ca="1">_xlfn.RANK.EQ(Games[[#This Row],[Sort]],Games[Sort],1)</f>
        <v>71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V22">
        <f ca="1">_xlfn.RANK.EQ(Games[[#This Row],[Sort]],Games[Sort],1)</f>
        <v>75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V23">
        <f ca="1">_xlfn.RANK.EQ(Games[[#This Row],[Sort]],Games[Sort],1)</f>
        <v>55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s="23" t="s">
        <v>82</v>
      </c>
      <c r="AE23" s="23" t="s">
        <v>83</v>
      </c>
      <c r="AF23" s="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V24">
        <f ca="1">_xlfn.RANK.EQ(Games[[#This Row],[Sort]],Games[Sort],1)</f>
        <v>76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4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V25">
        <f ca="1">_xlfn.RANK.EQ(Games[[#This Row],[Sort]],Games[Sort],1)</f>
        <v>35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4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V26">
        <f ca="1">_xlfn.RANK.EQ(Games[[#This Row],[Sort]],Games[Sort],1)</f>
        <v>54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4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V27">
        <f ca="1">_xlfn.RANK.EQ(Games[[#This Row],[Sort]],Games[Sort],1)</f>
        <v>73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4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V28">
        <f ca="1">_xlfn.RANK.EQ(Games[[#This Row],[Sort]],Games[Sort],1)</f>
        <v>31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B28" s="25"/>
      <c r="AD28">
        <f>SUBTOTAL(109,Types[Games])</f>
        <v>81</v>
      </c>
      <c r="AE28">
        <f>SUBTOTAL(109,Types[Tickets])</f>
        <v>324</v>
      </c>
      <c r="AF28" s="24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V29">
        <f ca="1">_xlfn.RANK.EQ(Games[[#This Row],[Sort]],Games[Sort],1)</f>
        <v>4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V30">
        <f ca="1">_xlfn.RANK.EQ(Games[[#This Row],[Sort]],Games[Sort],1)</f>
        <v>32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V31">
        <f ca="1">_xlfn.RANK.EQ(Games[[#This Row],[Sort]],Games[Sort],1)</f>
        <v>38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V32">
        <f ca="1">_xlfn.RANK.EQ(Games[[#This Row],[Sort]],Games[Sort],1)</f>
        <v>11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V33">
        <f ca="1">_xlfn.RANK.EQ(Games[[#This Row],[Sort]],Games[Sort],1)</f>
        <v>72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V34">
        <f ca="1">_xlfn.RANK.EQ(Games[[#This Row],[Sort]],Games[Sort],1)</f>
        <v>77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V35">
        <f ca="1">_xlfn.RANK.EQ(Games[[#This Row],[Sort]],Games[Sort],1)</f>
        <v>57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V36">
        <f ca="1">_xlfn.RANK.EQ(Games[[#This Row],[Sort]],Games[Sort],1)</f>
        <v>26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V37">
        <f ca="1">_xlfn.RANK.EQ(Games[[#This Row],[Sort]],Games[Sort],1)</f>
        <v>13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V38">
        <f ca="1">_xlfn.RANK.EQ(Games[[#This Row],[Sort]],Games[Sort],1)</f>
        <v>64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V39">
        <f ca="1">_xlfn.RANK.EQ(Games[[#This Row],[Sort]],Games[Sort],1)</f>
        <v>6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V40">
        <f ca="1">_xlfn.RANK.EQ(Games[[#This Row],[Sort]],Games[Sort],1)</f>
        <v>63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V41">
        <f ca="1">_xlfn.RANK.EQ(Games[[#This Row],[Sort]],Games[Sort],1)</f>
        <v>36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V42">
        <f ca="1">_xlfn.RANK.EQ(Games[[#This Row],[Sort]],Games[Sort],1)</f>
        <v>12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V43">
        <f ca="1">_xlfn.RANK.EQ(Games[[#This Row],[Sort]],Games[Sort],1)</f>
        <v>19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V44">
        <f ca="1">_xlfn.RANK.EQ(Games[[#This Row],[Sort]],Games[Sort],1)</f>
        <v>78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V45">
        <f ca="1">_xlfn.RANK.EQ(Games[[#This Row],[Sort]],Games[Sort],1)</f>
        <v>23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V46">
        <f ca="1">_xlfn.RANK.EQ(Games[[#This Row],[Sort]],Games[Sort],1)</f>
        <v>56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V47">
        <f ca="1">_xlfn.RANK.EQ(Games[[#This Row],[Sort]],Games[Sort],1)</f>
        <v>24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V48">
        <f ca="1">_xlfn.RANK.EQ(Games[[#This Row],[Sort]],Games[Sort],1)</f>
        <v>60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V49">
        <f ca="1">_xlfn.RANK.EQ(Games[[#This Row],[Sort]],Games[Sort],1)</f>
        <v>5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V50">
        <f ca="1">_xlfn.RANK.EQ(Games[[#This Row],[Sort]],Games[Sort],1)</f>
        <v>27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V51">
        <f ca="1">_xlfn.RANK.EQ(Games[[#This Row],[Sort]],Games[Sort],1)</f>
        <v>43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V52">
        <f ca="1">_xlfn.RANK.EQ(Games[[#This Row],[Sort]],Games[Sort],1)</f>
        <v>53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V53">
        <f ca="1">_xlfn.RANK.EQ(Games[[#This Row],[Sort]],Games[Sort],1)</f>
        <v>18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V54">
        <f ca="1">_xlfn.RANK.EQ(Games[[#This Row],[Sort]],Games[Sort],1)</f>
        <v>79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V55">
        <f ca="1">_xlfn.RANK.EQ(Games[[#This Row],[Sort]],Games[Sort],1)</f>
        <v>58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V56">
        <f ca="1">_xlfn.RANK.EQ(Games[[#This Row],[Sort]],Games[Sort],1)</f>
        <v>30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V57">
        <f ca="1">_xlfn.RANK.EQ(Games[[#This Row],[Sort]],Games[Sort],1)</f>
        <v>3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V58">
        <f ca="1">_xlfn.RANK.EQ(Games[[#This Row],[Sort]],Games[Sort],1)</f>
        <v>70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V59">
        <f ca="1">_xlfn.RANK.EQ(Games[[#This Row],[Sort]],Games[Sort],1)</f>
        <v>46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V60">
        <f ca="1">_xlfn.RANK.EQ(Games[[#This Row],[Sort]],Games[Sort],1)</f>
        <v>62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V61">
        <f ca="1">_xlfn.RANK.EQ(Games[[#This Row],[Sort]],Games[Sort],1)</f>
        <v>25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V62">
        <f ca="1">_xlfn.RANK.EQ(Games[[#This Row],[Sort]],Games[Sort],1)</f>
        <v>39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V63">
        <f ca="1">_xlfn.RANK.EQ(Games[[#This Row],[Sort]],Games[Sort],1)</f>
        <v>67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V64">
        <f ca="1">_xlfn.RANK.EQ(Games[[#This Row],[Sort]],Games[Sort],1)</f>
        <v>74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V65">
        <f ca="1">_xlfn.RANK.EQ(Games[[#This Row],[Sort]],Games[Sort],1)</f>
        <v>1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V66">
        <f ca="1">_xlfn.RANK.EQ(Games[[#This Row],[Sort]],Games[Sort],1)</f>
        <v>22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V67">
        <f ca="1">_xlfn.RANK.EQ(Games[[#This Row],[Sort]],Games[Sort],1)</f>
        <v>37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V68">
        <f ca="1">_xlfn.RANK.EQ(Games[[#This Row],[Sort]],Games[Sort],1)</f>
        <v>9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V69">
        <f ca="1">_xlfn.RANK.EQ(Games[[#This Row],[Sort]],Games[Sort],1)</f>
        <v>21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V70">
        <f ca="1">_xlfn.RANK.EQ(Games[[#This Row],[Sort]],Games[Sort],1)</f>
        <v>14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V71">
        <f ca="1">_xlfn.RANK.EQ(Games[[#This Row],[Sort]],Games[Sort],1)</f>
        <v>41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V72">
        <f ca="1">_xlfn.RANK.EQ(Games[[#This Row],[Sort]],Games[Sort],1)</f>
        <v>42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V73">
        <f ca="1">_xlfn.RANK.EQ(Games[[#This Row],[Sort]],Games[Sort],1)</f>
        <v>68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V74">
        <f ca="1">_xlfn.RANK.EQ(Games[[#This Row],[Sort]],Games[Sort],1)</f>
        <v>48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V75">
        <f ca="1">_xlfn.RANK.EQ(Games[[#This Row],[Sort]],Games[Sort],1)</f>
        <v>15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V76">
        <f ca="1">_xlfn.RANK.EQ(Games[[#This Row],[Sort]],Games[Sort],1)</f>
        <v>49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V77">
        <f ca="1">_xlfn.RANK.EQ(Games[[#This Row],[Sort]],Games[Sort],1)</f>
        <v>10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V78">
        <f ca="1">_xlfn.RANK.EQ(Games[[#This Row],[Sort]],Games[Sort],1)</f>
        <v>33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V79">
        <f ca="1">_xlfn.RANK.EQ(Games[[#This Row],[Sort]],Games[Sort],1)</f>
        <v>44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V80">
        <f ca="1">_xlfn.RANK.EQ(Games[[#This Row],[Sort]],Games[Sort],1)</f>
        <v>59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V81">
        <f ca="1">_xlfn.RANK.EQ(Games[[#This Row],[Sort]],Games[Sort],1)</f>
        <v>66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V82">
        <f ca="1">_xlfn.RANK.EQ(Games[[#This Row],[Sort]],Games[Sort],1)</f>
        <v>81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1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2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5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6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7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8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2026-09-21T19:04:03Z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