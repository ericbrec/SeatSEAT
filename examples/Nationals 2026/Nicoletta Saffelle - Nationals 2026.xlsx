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E2CF5684-847E-4A9D-A469-C07CB5E971C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<sst xmlns="http://schemas.openxmlformats.org/spreadsheetml/2006/main" count="231" uniqueCount="67">
  <si>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</si>
  <si>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</si>
  <si>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</si>
  <si>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</si>
  <si>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</si>
  <si>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</si>
  <si>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</si>
  <si>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</si>
  <si>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</si>
  <si>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</si>
  <si>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</si>
  <si>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</si>
  <si>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</si>
  <si>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</si>
  <si>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</si>
  <si>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</si>
  <si>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</si>
  <si>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</si>
  <si>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</si>
  <si>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</si>
  <si>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</si>
  <si>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</si>
  <si>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</si>
  <si>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</si>
  <si>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</si>
  <si>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</si>
  <si>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</si>
  <si>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</si>
  <si>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</si>
  <si>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</si>
  <si>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</si>
  <si>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</si>
  <si>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</si>
  <si>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</si>
  <si>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</si>
  <si>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</si>
  <si>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</si>
  <si>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</si>
  <si>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</si>
  <si>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</si>
  <si>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</si>
  <si>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</si>
  <si>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</si>
  <si>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</si>
  <si>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</si>
  <si>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</si>
  <si>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</si>
  <si>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</si>
  <si>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</si>
  <si>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</si>
  <si>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</si>
  <si>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</si>
  <si>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</si>
  <si>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</si>
  <si>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</si>
  <si>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</si>
  <si>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</si>
  <si>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</si>
  <si>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</si>
  <si>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</si>
  <si>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</si>
  <si>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</si>
  <si>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</si>
  <si>
    <t>Bridgette Reilly</t>
  </si>
  <si>
    <t>David Dorris</t>
  </si>
  <si>
    <t>Marcus Farbstein</t>
  </si>
  <si>
    <t>Nicoletta Saffelle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</si>
</sst>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7" dataDxfId="26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5">
      <calculatedColumnFormula>TEXT(Games[[#This Row],[Date]], "ddd")</calculatedColumnFormula>
    </tableColumn>
    <tableColumn id="2" xr3:uid="{00000000-0010-0000-0000-000002000000}" name="Date" dataDxfId="24"/>
    <tableColumn id="5" xr3:uid="{00000000-0010-0000-0000-000005000000}" name="Time" dataDxfId="23"/>
    <tableColumn id="4" xr3:uid="{00000000-0010-0000-0000-000004000000}" name="Opponent" dataDxfId="22"/>
    <tableColumn id="7" xr3:uid="{9E8F088B-1EA6-44CA-B818-1F7D43F5D5E7}" name="Type" dataCellStyle="Normal"/>
    <tableColumn id="8" xr3:uid="{AA6D2002-4C78-4093-9793-A575FAC0F72F}" name="Price" dataDxfId="21" dataCellStyle="Currency">
      <calculatedColumnFormula>_xlfn.XLOOKUP(Games[[#This Row],[Type]],Types[Type],Types[Price])</calculatedColumnFormula>
    </tableColumn>
    <tableColumn id="21" xr3:uid="{6605C5A5-6B7D-4186-8D6F-A61D7DFDD8D4}" name="GamePairs" dataDxfId="20">
      <calculatedColumnFormula>_xlfn.XLOOKUP(Games[[#This Row],[Type]],Types[Type],Types[Pairs])</calculatedColumnFormula>
    </tableColumn>
    <tableColumn id="15" xr3:uid="{9471ECAA-F4C1-478C-B117-15D31D83B2FA}" name="Seats" dataDxfId="19">
      <calculatedColumnFormula>TEXT(Games[[#This Row],[Price]],"$#,##0.00")&amp;" ("&amp;Games[[#This Row],[GamePairs]]*2&amp;")"</calculatedColumnFormula>
    </tableColumn>
    <tableColumn id="6" xr3:uid="{00000000-0010-0000-0000-000006000000}" name="Rank" dataDxfId="18"/>
    <tableColumn id="10" xr3:uid="{00000000-0010-0000-0000-00000A000000}" name="QuadRank" dataDxfId="17" dataCellStyle="Normal 2"/>
    <tableColumn id="13" xr3:uid="{10011C92-A32E-4605-8584-BDBE5EABC83A}" name="Sort" dataDxfId="16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5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4">
      <calculatedColumnFormula>_xlfn.RANK.EQ(Games[[#This Row],[Sort]],Games[Sort],1)</calculatedColumnFormula>
    </tableColumn>
    <tableColumn id="9" xr3:uid="{FE7F021A-A7DE-4DDD-9CB4-33114D9B6A5E}" name="QuadPick" dataDxfId="13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2"/>
    <tableColumn id="14" xr3:uid="{02873305-C254-48E4-9E8D-324FD18F7B69}" name="Comments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0" totalsRowDxfId="9"/>
    <tableColumn id="2" xr3:uid="{D785142C-C4FC-418F-A0C8-7745E2B467E4}" name="Price" dataDxfId="8" dataCellStyle="Currency"/>
    <tableColumn id="3" xr3:uid="{F14FCFFA-E6B3-465B-BEC9-D1AFB23F6C0D}" name="Pairs"/>
    <tableColumn id="4" xr3:uid="{77C90207-35F5-4AB4-B4C2-39C4FABA9268}" name="Games" totalsRowFunction="sum" dataDxfId="7">
      <calculatedColumnFormula>COUNTIF(Games[Type],Types[[#This Row],[Type]])</calculatedColumnFormula>
    </tableColumn>
    <tableColumn id="5" xr3:uid="{B143CB75-DF50-4323-85C5-10526A2643E2}" name="Tickets" totalsRowFunction="sum" dataDxfId="6">
      <calculatedColumnFormula>Types[[#This Row],[Games]]*Types[[#This Row],[Pairs]]*2</calculatedColumnFormula>
    </tableColumn>
    <tableColumn id="6" xr3:uid="{1050CF1C-249D-4CE7-A143-304C5582C5BA}" name="Cost" totalsRowFunction="sum" dataDxfId="5" totalsRow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B39" sqref="B39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6.28515625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>
        <v>32</v>
      </c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32.00000000544911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32.00000000544911</v>
      </c>
      <c r="V2">
        <f ca="1">_xlfn.RANK.EQ(Games[[#This Row],[Sort]],Games[Sort],1)</f>
        <v>32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>
        <v>33</v>
      </c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33.00000251056948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33.00000251056948</v>
      </c>
      <c r="V3">
        <f ca="1">_xlfn.RANK.EQ(Games[[#This Row],[Sort]],Games[Sort],1)</f>
        <v>33</v>
      </c>
      <c r="W3" t="str">
        <f>IF(COUNT(Games[QuadRank])&gt;0,_xlfn.RANK.EQ(Games[[#This Row],[QuadSort]],Games[QuadSort],1),"")</f>
        <v/>
      </c>
      <c r="X3" s="5"/>
      <c r="Y3" s="5"/>
      <c r="AA3" s="21" t="s">
        <v>62</v>
      </c>
      <c r="AB3" s="22">
        <v>2</v>
      </c>
      <c r="AC3" s="22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>
        <v>35</v>
      </c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35.000000706759089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35.000000706759089</v>
      </c>
      <c r="V4">
        <f ca="1">_xlfn.RANK.EQ(Games[[#This Row],[Sort]],Games[Sort],1)</f>
        <v>35</v>
      </c>
      <c r="W4" t="str">
        <f>IF(COUNT(Games[QuadRank])&gt;0,_xlfn.RANK.EQ(Games[[#This Row],[QuadSort]],Games[QuadSort],1),"")</f>
        <v/>
      </c>
      <c r="X4" s="5"/>
      <c r="Y4" s="5"/>
      <c r="AA4" s="21" t="s">
        <v>63</v>
      </c>
      <c r="AB4" s="22">
        <v>6</v>
      </c>
      <c r="AC4" s="22">
        <v>4</v>
      </c>
      <c r="AD4">
        <f>Names[[#This Row],[Pairs]]+Names[[#This Row],[Quads]]</f>
        <v>10</v>
      </c>
      <c r="AE4">
        <f>Names[[#This Row],[Pairs]]*2 + Names[[#This Row],[Quads]]*4</f>
        <v>28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>
        <v>29</v>
      </c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29.000002615083538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29.000002615083538</v>
      </c>
      <c r="V5">
        <f ca="1">_xlfn.RANK.EQ(Games[[#This Row],[Sort]],Games[Sort],1)</f>
        <v>29</v>
      </c>
      <c r="W5" t="str">
        <f>IF(COUNT(Games[QuadRank])&gt;0,_xlfn.RANK.EQ(Games[[#This Row],[QuadSort]],Games[QuadSort],1),"")</f>
        <v/>
      </c>
      <c r="X5" s="5"/>
      <c r="Y5" s="5"/>
      <c r="AA5" t="s">
        <v>64</v>
      </c>
      <c r="AB5">
        <v>10</v>
      </c>
      <c r="AC5">
        <v>0</v>
      </c>
      <c r="AD5">
        <f>Names[[#This Row],[Pairs]]+Names[[#This Row],[Quads]]</f>
        <v>10</v>
      </c>
      <c r="AE5">
        <f>Names[[#This Row],[Pairs]]*2 + Names[[#This Row],[Quads]]*4</f>
        <v>20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>
        <v>30</v>
      </c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30.000001754363339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30.000001754363339</v>
      </c>
      <c r="V6">
        <f ca="1">_xlfn.RANK.EQ(Games[[#This Row],[Sort]],Games[Sort],1)</f>
        <v>30</v>
      </c>
      <c r="W6" t="str">
        <f>IF(COUNT(Games[QuadRank])&gt;0,_xlfn.RANK.EQ(Games[[#This Row],[QuadSort]],Games[QuadSort],1),"")</f>
        <v/>
      </c>
      <c r="X6" s="5"/>
      <c r="Y6" s="5"/>
      <c r="AA6" t="s">
        <v>65</v>
      </c>
      <c r="AB6">
        <v>12</v>
      </c>
      <c r="AC6">
        <v>0</v>
      </c>
      <c r="AD6">
        <f>Names[[#This Row],[Pairs]]+Names[[#This Row],[Quads]]</f>
        <v>12</v>
      </c>
      <c r="AE6">
        <f>Names[[#This Row],[Pairs]]*2 + Names[[#This Row],[Quads]]*4</f>
        <v>24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>
        <v>25</v>
      </c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25.000002527575724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25.000002527575724</v>
      </c>
      <c r="V7">
        <f ca="1">_xlfn.RANK.EQ(Games[[#This Row],[Sort]],Games[Sort],1)</f>
        <v>25</v>
      </c>
      <c r="W7" t="str">
        <f>IF(COUNT(Games[QuadRank])&gt;0,_xlfn.RANK.EQ(Games[[#This Row],[QuadSort]],Games[QuadSort],1),"")</f>
        <v/>
      </c>
      <c r="X7" s="5"/>
      <c r="Y7" s="5"/>
      <c r="AA7" t="s">
        <v>66</v>
      </c>
      <c r="AB7">
        <v>0</v>
      </c>
      <c r="AC7">
        <v>10</v>
      </c>
      <c r="AD7">
        <f>Names[[#This Row],[Pairs]]+Names[[#This Row],[Quads]]</f>
        <v>10</v>
      </c>
      <c r="AE7">
        <f>Names[[#This Row],[Pairs]]*2 + Names[[#This Row],[Quads]]*4</f>
        <v>40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>
        <v>31</v>
      </c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31.000000747857058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31.000000747857058</v>
      </c>
      <c r="V8">
        <f ca="1">_xlfn.RANK.EQ(Games[[#This Row],[Sort]],Games[Sort],1)</f>
        <v>31</v>
      </c>
      <c r="W8" t="str">
        <f>IF(COUNT(Games[QuadRank])&gt;0,_xlfn.RANK.EQ(Games[[#This Row],[QuadSort]],Games[QuadSort],1),"")</f>
        <v/>
      </c>
      <c r="X8" s="5"/>
      <c r="Y8" s="5"/>
      <c r="AD8">
        <f>Names[[#This Row],[Pairs]]+Names[[#This Row],[Quads]]</f>
        <v>0</v>
      </c>
      <c r="AE8">
        <f>Names[[#This Row],[Pairs]]*2 + Names[[#This Row],[Quads]]*4</f>
        <v>0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>
        <v>34</v>
      </c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34.000000113049104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34.000000113049104</v>
      </c>
      <c r="V9">
        <f ca="1">_xlfn.RANK.EQ(Games[[#This Row],[Sort]],Games[Sort],1)</f>
        <v>34</v>
      </c>
      <c r="W9" t="str">
        <f>IF(COUNT(Games[QuadRank])&gt;0,_xlfn.RANK.EQ(Games[[#This Row],[QuadSort]],Games[QuadSort],1),"")</f>
        <v/>
      </c>
      <c r="X9" s="5"/>
      <c r="Y9" s="5"/>
      <c r="AD9">
        <f>Names[[#This Row],[Pairs]]+Names[[#This Row],[Quads]]</f>
        <v>0</v>
      </c>
      <c r="AE9">
        <f>Names[[#This Row],[Pairs]]*2 + Names[[#This Row],[Quads]]*4</f>
        <v>0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>
        <v>46</v>
      </c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46.000001048964741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46.000001048964741</v>
      </c>
      <c r="V10">
        <f ca="1">_xlfn.RANK.EQ(Games[[#This Row],[Sort]],Games[Sort],1)</f>
        <v>46</v>
      </c>
      <c r="W10" t="str">
        <f>IF(COUNT(Games[QuadRank])&gt;0,_xlfn.RANK.EQ(Games[[#This Row],[QuadSort]],Games[QuadSort],1),"")</f>
        <v/>
      </c>
      <c r="X10" s="5"/>
      <c r="Y10" s="5"/>
      <c r="AD10">
        <f>Names[[#This Row],[Pairs]]+Names[[#This Row],[Quads]]</f>
        <v>0</v>
      </c>
      <c r="AE10">
        <f>Names[[#This Row],[Pairs]]*2 + Names[[#This Row],[Quads]]*4</f>
        <v>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>
        <v>26</v>
      </c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26.000000286940114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26.000000286940114</v>
      </c>
      <c r="V11">
        <f ca="1">_xlfn.RANK.EQ(Games[[#This Row],[Sort]],Games[Sort],1)</f>
        <v>26</v>
      </c>
      <c r="W11" t="str">
        <f>IF(COUNT(Games[QuadRank])&gt;0,_xlfn.RANK.EQ(Games[[#This Row],[QuadSort]],Games[QuadSort],1),"")</f>
        <v/>
      </c>
      <c r="X11" s="5"/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>
        <v>27</v>
      </c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27.000002165945943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27.000002165945943</v>
      </c>
      <c r="V12">
        <f ca="1">_xlfn.RANK.EQ(Games[[#This Row],[Sort]],Games[Sort],1)</f>
        <v>27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>
        <v>28</v>
      </c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28.000001305225744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28.000001305225744</v>
      </c>
      <c r="V13">
        <f ca="1">_xlfn.RANK.EQ(Games[[#This Row],[Sort]],Games[Sort],1)</f>
        <v>28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>
        <v>45</v>
      </c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45.000000655847934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45.000000655847934</v>
      </c>
      <c r="V14">
        <f ca="1">_xlfn.RANK.EQ(Games[[#This Row],[Sort]],Games[Sort],1)</f>
        <v>45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>
        <v>52</v>
      </c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52.000001159439663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52.000001159439663</v>
      </c>
      <c r="V15">
        <f ca="1">_xlfn.RANK.EQ(Games[[#This Row],[Sort]],Games[Sort],1)</f>
        <v>52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>
        <v>51</v>
      </c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51.000000643710628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51.000000643710628</v>
      </c>
      <c r="V16">
        <f ca="1">_xlfn.RANK.EQ(Games[[#This Row],[Sort]],Games[Sort],1)</f>
        <v>51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>
        <v>50</v>
      </c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50.000001579626264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50.000001579626264</v>
      </c>
      <c r="V17">
        <f ca="1">_xlfn.RANK.EQ(Games[[#This Row],[Sort]],Games[Sort],1)</f>
        <v>50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40</v>
      </c>
      <c r="AC17">
        <f>SUBTOTAL(109,Names[Quads])</f>
        <v>18</v>
      </c>
      <c r="AD17">
        <f>SUBTOTAL(109,Names[Games])</f>
        <v>58</v>
      </c>
      <c r="AE17">
        <f>SUBTOTAL(109,Names[Tickets])</f>
        <v>152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>
        <v>1</v>
      </c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1.0000004562848956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1.0000004562848956</v>
      </c>
      <c r="V18">
        <f ca="1">_xlfn.RANK.EQ(Games[[#This Row],[Sort]],Games[Sort],1)</f>
        <v>1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86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>
        <v>2</v>
      </c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2.0000023352907244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2.0000023352907244</v>
      </c>
      <c r="V19">
        <f ca="1">_xlfn.RANK.EQ(Games[[#This Row],[Sort]],Games[Sort],1)</f>
        <v>2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63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>
        <v>44</v>
      </c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44.000001186509458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44.000001186509458</v>
      </c>
      <c r="V20">
        <f ca="1">_xlfn.RANK.EQ(Games[[#This Row],[Sort]],Games[Sort],1)</f>
        <v>44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>
        <v>81</v>
      </c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81.000002189504642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81.000002189504642</v>
      </c>
      <c r="V21">
        <f ca="1">_xlfn.RANK.EQ(Games[[#This Row],[Sort]],Games[Sort],1)</f>
        <v>81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>
        <v>80</v>
      </c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80.000001174372159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80.000001174372159</v>
      </c>
      <c r="V22">
        <f ca="1">_xlfn.RANK.EQ(Games[[#This Row],[Sort]],Games[Sort],1)</f>
        <v>80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>
        <v>79</v>
      </c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79.000002110287781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79.000002110287781</v>
      </c>
      <c r="V23">
        <f ca="1">_xlfn.RANK.EQ(Games[[#This Row],[Sort]],Games[Sort],1)</f>
        <v>79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>
        <v>78</v>
      </c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78.000001728587691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78.000001728587691</v>
      </c>
      <c r="V24">
        <f ca="1">_xlfn.RANK.EQ(Games[[#This Row],[Sort]],Games[Sort],1)</f>
        <v>78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>
        <v>77</v>
      </c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77.000000867867499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77.000000867867499</v>
      </c>
      <c r="V25">
        <f ca="1">_xlfn.RANK.EQ(Games[[#This Row],[Sort]],Games[Sort],1)</f>
        <v>77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>
        <v>36</v>
      </c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36.0000000071473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36.0000000071473</v>
      </c>
      <c r="V26">
        <f ca="1">_xlfn.RANK.EQ(Games[[#This Row],[Sort]],Games[Sort],1)</f>
        <v>36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>
        <v>43</v>
      </c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43.000002612606934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43.000002612606934</v>
      </c>
      <c r="V27">
        <f ca="1">_xlfn.RANK.EQ(Games[[#This Row],[Sort]],Games[Sort],1)</f>
        <v>43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>
        <v>76</v>
      </c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76.000002601087246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76.000002601087246</v>
      </c>
      <c r="V28">
        <f ca="1">_xlfn.RANK.EQ(Games[[#This Row],[Sort]],Games[Sort],1)</f>
        <v>76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>
        <v>75</v>
      </c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75.000001516577811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75.000001516577811</v>
      </c>
      <c r="V29">
        <f ca="1">_xlfn.RANK.EQ(Games[[#This Row],[Sort]],Games[Sort],1)</f>
        <v>75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>
        <v>74</v>
      </c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74.000002452493447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74.000002452493447</v>
      </c>
      <c r="V30">
        <f ca="1">_xlfn.RANK.EQ(Games[[#This Row],[Sort]],Games[Sort],1)</f>
        <v>74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>
        <v>3</v>
      </c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3.0000000189266491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3.0000000189266491</v>
      </c>
      <c r="V31">
        <f ca="1">_xlfn.RANK.EQ(Games[[#This Row],[Sort]],Games[Sort],1)</f>
        <v>3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>
        <v>4</v>
      </c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4.0000018979324778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4.0000018979324778</v>
      </c>
      <c r="V32">
        <f ca="1">_xlfn.RANK.EQ(Games[[#This Row],[Sort]],Games[Sort],1)</f>
        <v>4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>
        <v>42</v>
      </c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42.000000638148094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42.000000638148094</v>
      </c>
      <c r="V33">
        <f ca="1">_xlfn.RANK.EQ(Games[[#This Row],[Sort]],Games[Sort],1)</f>
        <v>42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>
        <v>73</v>
      </c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73.000000891426197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73.000000891426197</v>
      </c>
      <c r="V34">
        <f ca="1">_xlfn.RANK.EQ(Games[[#This Row],[Sort]],Games[Sort],1)</f>
        <v>73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>
        <v>72</v>
      </c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72.000002047239335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72.000002047239335</v>
      </c>
      <c r="V35">
        <f ca="1">_xlfn.RANK.EQ(Games[[#This Row],[Sort]],Games[Sort],1)</f>
        <v>72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>
        <v>71</v>
      </c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71.000000243428943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71.000000243428943</v>
      </c>
      <c r="V36">
        <f ca="1">_xlfn.RANK.EQ(Games[[#This Row],[Sort]],Games[Sort],1)</f>
        <v>71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>
        <v>5</v>
      </c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5.0000010489916287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5.0000010489916287</v>
      </c>
      <c r="V37">
        <f ca="1">_xlfn.RANK.EQ(Games[[#This Row],[Sort]],Games[Sort],1)</f>
        <v>5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>
        <v>6</v>
      </c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6.0000001882714304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6.0000001882714304</v>
      </c>
      <c r="V38">
        <f ca="1">_xlfn.RANK.EQ(Games[[#This Row],[Sort]],Games[Sort],1)</f>
        <v>6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1</v>
      </c>
      <c r="C39" t="s">
        <v>5</v>
      </c>
      <c r="D39" s="14">
        <v>1</v>
      </c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>
        <v>41</v>
      </c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41.000000980353747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41.000000980353747</v>
      </c>
      <c r="V39">
        <f ca="1">_xlfn.RANK.EQ(Games[[#This Row],[Sort]],Games[Sort],1)</f>
        <v>41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>
        <v>7</v>
      </c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7.0000026246459441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7.0000026246459441</v>
      </c>
      <c r="V40">
        <f ca="1">_xlfn.RANK.EQ(Games[[#This Row],[Sort]],Games[Sort],1)</f>
        <v>7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>
        <v>8</v>
      </c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8.000001763925745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8.000001763925745</v>
      </c>
      <c r="V41">
        <f ca="1">_xlfn.RANK.EQ(Games[[#This Row],[Sort]],Games[Sort],1)</f>
        <v>8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>
        <v>9</v>
      </c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9.0000009032055459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9.0000009032055459</v>
      </c>
      <c r="V42">
        <f ca="1">_xlfn.RANK.EQ(Games[[#This Row],[Sort]],Games[Sort],1)</f>
        <v>9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>
        <v>10</v>
      </c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10.000000042485349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10.000000042485349</v>
      </c>
      <c r="V43">
        <f ca="1">_xlfn.RANK.EQ(Games[[#This Row],[Sort]],Games[Sort],1)</f>
        <v>10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>
        <v>70</v>
      </c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70.000002265309249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70.000002265309249</v>
      </c>
      <c r="V44">
        <f ca="1">_xlfn.RANK.EQ(Games[[#This Row],[Sort]],Games[Sort],1)</f>
        <v>70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1</v>
      </c>
      <c r="C45" t="s">
        <v>5</v>
      </c>
      <c r="D45" s="14">
        <v>2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>
        <v>69</v>
      </c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69.000002247862284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69.000002247862284</v>
      </c>
      <c r="V45">
        <f ca="1">_xlfn.RANK.EQ(Games[[#This Row],[Sort]],Games[Sort],1)</f>
        <v>69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>
        <v>68</v>
      </c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68.00000157546468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68.00000157546468</v>
      </c>
      <c r="V46">
        <f ca="1">_xlfn.RANK.EQ(Games[[#This Row],[Sort]],Games[Sort],1)</f>
        <v>68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>
        <v>11</v>
      </c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11.000002422874687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11.000002422874687</v>
      </c>
      <c r="V47">
        <f ca="1">_xlfn.RANK.EQ(Games[[#This Row],[Sort]],Games[Sort],1)</f>
        <v>11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>
        <v>12</v>
      </c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12.000000943672111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12.000000943672111</v>
      </c>
      <c r="V48">
        <f ca="1">_xlfn.RANK.EQ(Games[[#This Row],[Sort]],Games[Sort],1)</f>
        <v>12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>
        <v>13</v>
      </c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13.000000082951912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13.000000082951912</v>
      </c>
      <c r="V49">
        <f ca="1">_xlfn.RANK.EQ(Games[[#This Row],[Sort]],Games[Sort],1)</f>
        <v>13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>
        <v>67</v>
      </c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67.000001101237544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67.000001101237544</v>
      </c>
      <c r="V50">
        <f ca="1">_xlfn.RANK.EQ(Games[[#This Row],[Sort]],Games[Sort],1)</f>
        <v>67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1</v>
      </c>
      <c r="C51" t="s">
        <v>7</v>
      </c>
      <c r="D51" s="14">
        <v>1</v>
      </c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>
        <v>66</v>
      </c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66.000002180514883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66.000002180514883</v>
      </c>
      <c r="V51">
        <f ca="1">_xlfn.RANK.EQ(Games[[#This Row],[Sort]],Games[Sort],1)</f>
        <v>66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0</v>
      </c>
      <c r="C52" t="s">
        <v>7</v>
      </c>
      <c r="D52" s="14"/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>
        <v>65</v>
      </c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65.000000376704492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65.000000376704492</v>
      </c>
      <c r="V52">
        <f ca="1">_xlfn.RANK.EQ(Games[[#This Row],[Sort]],Games[Sort],1)</f>
        <v>65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>
        <v>49</v>
      </c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49.000002131302523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49.000002131302523</v>
      </c>
      <c r="V53">
        <f ca="1">_xlfn.RANK.EQ(Games[[#This Row],[Sort]],Games[Sort],1)</f>
        <v>49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>
        <v>48</v>
      </c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48.000002711176407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48.000002711176407</v>
      </c>
      <c r="V54">
        <f ca="1">_xlfn.RANK.EQ(Games[[#This Row],[Sort]],Games[Sort],1)</f>
        <v>48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>
        <v>47</v>
      </c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47.000000907366008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47.000000907366008</v>
      </c>
      <c r="V55">
        <f ca="1">_xlfn.RANK.EQ(Games[[#This Row],[Sort]],Games[Sort],1)</f>
        <v>47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>
        <v>14</v>
      </c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14.000001670385577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14.000001670385577</v>
      </c>
      <c r="V56">
        <f ca="1">_xlfn.RANK.EQ(Games[[#This Row],[Sort]],Games[Sort],1)</f>
        <v>14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>
        <v>15</v>
      </c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15.000000809665378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15.000000809665378</v>
      </c>
      <c r="V57">
        <f ca="1">_xlfn.RANK.EQ(Games[[#This Row],[Sort]],Games[Sort],1)</f>
        <v>15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>
        <v>40</v>
      </c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40.000001644290819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40.000001644290819</v>
      </c>
      <c r="V58">
        <f ca="1">_xlfn.RANK.EQ(Games[[#This Row],[Sort]],Games[Sort],1)</f>
        <v>40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>
        <v>64</v>
      </c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64.000002542885127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64.000002542885127</v>
      </c>
      <c r="V59">
        <f ca="1">_xlfn.RANK.EQ(Games[[#This Row],[Sort]],Games[Sort],1)</f>
        <v>64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>
        <v>63</v>
      </c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63.000001682164928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63.000001682164928</v>
      </c>
      <c r="V60">
        <f ca="1">_xlfn.RANK.EQ(Games[[#This Row],[Sort]],Games[Sort],1)</f>
        <v>63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>
        <v>62</v>
      </c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62.000001249571667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62.000001249571667</v>
      </c>
      <c r="V61">
        <f ca="1">_xlfn.RANK.EQ(Games[[#This Row],[Sort]],Games[Sort],1)</f>
        <v>62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>
        <v>16</v>
      </c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16.000001839730359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16.000001839730359</v>
      </c>
      <c r="V62">
        <f ca="1">_xlfn.RANK.EQ(Games[[#This Row],[Sort]],Games[Sort],1)</f>
        <v>16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>
        <v>17</v>
      </c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17.00000097901016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17.00000097901016</v>
      </c>
      <c r="V63">
        <f ca="1">_xlfn.RANK.EQ(Games[[#This Row],[Sort]],Games[Sort],1)</f>
        <v>17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>
        <v>37</v>
      </c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37.000001940346685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37.000001940346685</v>
      </c>
      <c r="V64">
        <f ca="1">_xlfn.RANK.EQ(Games[[#This Row],[Sort]],Games[Sort],1)</f>
        <v>37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>
        <v>18</v>
      </c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18.000000990789509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18.000000990789509</v>
      </c>
      <c r="V65">
        <f ca="1">_xlfn.RANK.EQ(Games[[#This Row],[Sort]],Games[Sort],1)</f>
        <v>18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>
        <v>19</v>
      </c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19.00000013006931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19.00000013006931</v>
      </c>
      <c r="V66">
        <f ca="1">_xlfn.RANK.EQ(Games[[#This Row],[Sort]],Games[Sort],1)</f>
        <v>19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>
        <v>20</v>
      </c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20.000001390592761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20.000001390592761</v>
      </c>
      <c r="V67">
        <f ca="1">_xlfn.RANK.EQ(Games[[#This Row],[Sort]],Games[Sort],1)</f>
        <v>20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>
        <v>39</v>
      </c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39.000001198660513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39.000001198660513</v>
      </c>
      <c r="V68">
        <f ca="1">_xlfn.RANK.EQ(Games[[#This Row],[Sort]],Games[Sort],1)</f>
        <v>39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>
        <v>61</v>
      </c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61.000002408878395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61.000002408878395</v>
      </c>
      <c r="V69">
        <f ca="1">_xlfn.RANK.EQ(Games[[#This Row],[Sort]],Games[Sort],1)</f>
        <v>61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>
        <v>60</v>
      </c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60.000002385283395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60.000002385283395</v>
      </c>
      <c r="V70">
        <f ca="1">_xlfn.RANK.EQ(Games[[#This Row],[Sort]],Games[Sort],1)</f>
        <v>60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>
        <v>59</v>
      </c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59.000000581473003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59.000000581473003</v>
      </c>
      <c r="V71">
        <f ca="1">_xlfn.RANK.EQ(Games[[#This Row],[Sort]],Games[Sort],1)</f>
        <v>59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>
        <v>21</v>
      </c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21.000002566443825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21.000002566443825</v>
      </c>
      <c r="V72">
        <f ca="1">_xlfn.RANK.EQ(Games[[#This Row],[Sort]],Games[Sort],1)</f>
        <v>21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>
        <v>22</v>
      </c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22.000001705723626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22.000001705723626</v>
      </c>
      <c r="V73">
        <f ca="1">_xlfn.RANK.EQ(Games[[#This Row],[Sort]],Games[Sort],1)</f>
        <v>22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>
        <v>38</v>
      </c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38.000001506853678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38.000001506853678</v>
      </c>
      <c r="V74">
        <f ca="1">_xlfn.RANK.EQ(Games[[#This Row],[Sort]],Games[Sort],1)</f>
        <v>38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>
        <v>58</v>
      </c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58.000000699217345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58.000000699217345</v>
      </c>
      <c r="V75">
        <f ca="1">_xlfn.RANK.EQ(Games[[#This Row],[Sort]],Games[Sort],1)</f>
        <v>58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>
        <v>57</v>
      </c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57.00000017621889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57.00000017621889</v>
      </c>
      <c r="V76">
        <f ca="1">_xlfn.RANK.EQ(Games[[#This Row],[Sort]],Games[Sort],1)</f>
        <v>57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>
        <v>56</v>
      </c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56.000001112134527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56.000001112134527</v>
      </c>
      <c r="V77">
        <f ca="1">_xlfn.RANK.EQ(Games[[#This Row],[Sort]],Games[Sort],1)</f>
        <v>56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>
        <v>23</v>
      </c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23.000002117306227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23.000002117306227</v>
      </c>
      <c r="V78">
        <f ca="1">_xlfn.RANK.EQ(Games[[#This Row],[Sort]],Games[Sort],1)</f>
        <v>23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>
        <v>24</v>
      </c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24.000001256586028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24.000001256586028</v>
      </c>
      <c r="V79">
        <f ca="1">_xlfn.RANK.EQ(Games[[#This Row],[Sort]],Games[Sort],1)</f>
        <v>24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>
        <v>55</v>
      </c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55.00000111079995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55.00000111079995</v>
      </c>
      <c r="V80">
        <f ca="1">_xlfn.RANK.EQ(Games[[#This Row],[Sort]],Games[Sort],1)</f>
        <v>55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>
        <v>54</v>
      </c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54.00000051842455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54.00000051842455</v>
      </c>
      <c r="V81">
        <f ca="1">_xlfn.RANK.EQ(Games[[#This Row],[Sort]],Games[Sort],1)</f>
        <v>54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>
        <v>53</v>
      </c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53.000001155747299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53.000001155747299</v>
      </c>
      <c r="V82">
        <f ca="1">_xlfn.RANK.EQ(Games[[#This Row],[Sort]],Games[Sort],1)</f>
        <v>53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2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3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4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6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