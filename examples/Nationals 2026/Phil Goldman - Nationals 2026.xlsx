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6AF84A34-D408-481F-9D8A-B69CDA0E7A4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<sst xmlns="http://schemas.openxmlformats.org/spreadsheetml/2006/main" count="232" uniqueCount="68">
  <si>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</si>
  <si>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</si>
  <si>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</si>
  <si>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</si>
  <si>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</si>
  <si>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</si>
  <si>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</si>
  <si>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</si>
  <si>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</si>
  <si>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</si>
  <si>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</si>
  <si>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</si>
  <si>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</si>
  <si>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</si>
  <si>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</si>
  <si>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</si>
  <si>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</si>
  <si>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</si>
  <si>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</si>
  <si>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</si>
  <si>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</si>
  <si>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</si>
  <si>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</si>
  <si>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</si>
  <si>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</si>
  <si>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</si>
  <si>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</si>
  <si>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</si>
  <si>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</si>
  <si>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</si>
  <si>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</si>
  <si>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</si>
  <si>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</si>
  <si>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</si>
  <si>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</si>
  <si>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</si>
  <si>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</si>
  <si>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</si>
  <si>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</si>
  <si>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</si>
  <si>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</si>
  <si>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</si>
  <si>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</si>
  <si>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</si>
  <si>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</si>
  <si>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</si>
  <si>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</si>
  <si>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</si>
  <si>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</si>
  <si>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</si>
  <si>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</si>
  <si>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</si>
  <si>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</si>
  <si>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</si>
  <si>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</si>
  <si>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</si>
  <si>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</si>
  <si>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</si>
  <si>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</si>
  <si>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</si>
  <si>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</si>
  <si>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</si>
  <si>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</si>
  <si>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</si>
  <si>
    <t>David Dorris</t>
  </si>
  <si>
    <t>Marcus Farbstein</t>
  </si>
  <si>
    <t>Nicoletta Saffelle</t>
  </si>
  <si>
    <t>Phil Goldman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</si>
</sst>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7" dataDxfId="26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5">
      <calculatedColumnFormula>TEXT(Games[[#This Row],[Date]], "ddd")</calculatedColumnFormula>
    </tableColumn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18"/>
    <tableColumn id="10" xr3:uid="{00000000-0010-0000-0000-00000A000000}" name="QuadRank" dataDxfId="17" dataCellStyle="Normal 2"/>
    <tableColumn id="13" xr3:uid="{10011C92-A32E-4605-8584-BDBE5EABC83A}" name="Sort" dataDxfId="16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5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4">
      <calculatedColumnFormula>_xlfn.RANK.EQ(Games[[#This Row],[Sort]],Games[Sort],1)</calculatedColumnFormula>
    </tableColumn>
    <tableColumn id="9" xr3:uid="{FE7F021A-A7DE-4DDD-9CB4-33114D9B6A5E}" name="QuadPick" dataDxfId="13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2"/>
    <tableColumn id="14" xr3:uid="{02873305-C254-48E4-9E8D-324FD18F7B69}" name="Comment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0" totalsRowDxfId="9"/>
    <tableColumn id="2" xr3:uid="{D785142C-C4FC-418F-A0C8-7745E2B467E4}" name="Price" dataDxfId="8" dataCellStyle="Currency"/>
    <tableColumn id="3" xr3:uid="{F14FCFFA-E6B3-465B-BEC9-D1AFB23F6C0D}" name="Pairs"/>
    <tableColumn id="4" xr3:uid="{77C90207-35F5-4AB4-B4C2-39C4FABA9268}" name="Games" totalsRowFunction="sum" dataDxfId="7">
      <calculatedColumnFormula>COUNTIF(Games[Type],Types[[#This Row],[Type]])</calculatedColumnFormula>
    </tableColumn>
    <tableColumn id="5" xr3:uid="{B143CB75-DF50-4323-85C5-10526A2643E2}" name="Tickets" totalsRowFunction="sum" dataDxfId="6">
      <calculatedColumnFormula>Types[[#This Row],[Games]]*Types[[#This Row],[Pairs]]*2</calculatedColumnFormula>
    </tableColumn>
    <tableColumn id="6" xr3:uid="{1050CF1C-249D-4CE7-A143-304C5582C5BA}" name="Cost" totalsRowFunction="sum" dataDxfId="5" totalsRow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B39" sqref="B39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6.28515625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23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23.00000225417439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23.00000225417439</v>
      </c>
      <c r="V2">
        <f ca="1">_xlfn.RANK.EQ(Games[[#This Row],[Sort]],Games[Sort],1)</f>
        <v>23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77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77.000002237566918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77.000002237566918</v>
      </c>
      <c r="V3">
        <f ca="1">_xlfn.RANK.EQ(Games[[#This Row],[Sort]],Games[Sort],1)</f>
        <v>77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76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76.000000108618792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76.000000108618792</v>
      </c>
      <c r="V4">
        <f ca="1">_xlfn.RANK.EQ(Games[[#This Row],[Sort]],Games[Sort],1)</f>
        <v>76</v>
      </c>
      <c r="W4" t="str">
        <f>IF(COUNT(Games[QuadRank])&gt;0,_xlfn.RANK.EQ(Games[[#This Row],[QuadSort]],Games[QuadSort],1),"")</f>
        <v/>
      </c>
      <c r="X4" s="5"/>
      <c r="Y4" s="5"/>
      <c r="AA4" s="21" t="s">
        <v>63</v>
      </c>
      <c r="AB4" s="22">
        <v>6</v>
      </c>
      <c r="AC4" s="22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75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75.000001925563197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75.000001925563197</v>
      </c>
      <c r="V5">
        <f ca="1">_xlfn.RANK.EQ(Games[[#This Row],[Sort]],Games[Sort],1)</f>
        <v>75</v>
      </c>
      <c r="W5" t="str">
        <f>IF(COUNT(Games[QuadRank])&gt;0,_xlfn.RANK.EQ(Games[[#This Row],[QuadSort]],Games[QuadSort],1),"")</f>
        <v/>
      </c>
      <c r="X5" s="5"/>
      <c r="Y5" s="5"/>
      <c r="AA5" t="s">
        <v>64</v>
      </c>
      <c r="AB5">
        <v>10</v>
      </c>
      <c r="AC5">
        <v>0</v>
      </c>
      <c r="AD5">
        <f>Names[[#This Row],[Pairs]]+Names[[#This Row],[Quads]]</f>
        <v>10</v>
      </c>
      <c r="AE5">
        <f>Names[[#This Row],[Pairs]]*2 + Names[[#This Row],[Quads]]*4</f>
        <v>20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8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8.0000005280934126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8.0000005280934126</v>
      </c>
      <c r="V6">
        <f ca="1">_xlfn.RANK.EQ(Games[[#This Row],[Sort]],Games[Sort],1)</f>
        <v>8</v>
      </c>
      <c r="W6" t="str">
        <f>IF(COUNT(Games[QuadRank])&gt;0,_xlfn.RANK.EQ(Games[[#This Row],[QuadSort]],Games[QuadSort],1),"")</f>
        <v/>
      </c>
      <c r="X6" s="5"/>
      <c r="Y6" s="5"/>
      <c r="AA6" t="s">
        <v>65</v>
      </c>
      <c r="AB6">
        <v>12</v>
      </c>
      <c r="AC6">
        <v>0</v>
      </c>
      <c r="AD6">
        <f>Names[[#This Row],[Pairs]]+Names[[#This Row],[Quads]]</f>
        <v>12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74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74.000000786143303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74.000000786143303</v>
      </c>
      <c r="V7">
        <f ca="1">_xlfn.RANK.EQ(Games[[#This Row],[Sort]],Games[Sort],1)</f>
        <v>74</v>
      </c>
      <c r="W7" t="str">
        <f>IF(COUNT(Games[QuadRank])&gt;0,_xlfn.RANK.EQ(Games[[#This Row],[QuadSort]],Games[QuadSort],1),"")</f>
        <v/>
      </c>
      <c r="X7" s="5"/>
      <c r="Y7" s="5"/>
      <c r="AA7" t="s">
        <v>66</v>
      </c>
      <c r="AB7">
        <v>0</v>
      </c>
      <c r="AC7">
        <v>10</v>
      </c>
      <c r="AD7">
        <f>Names[[#This Row],[Pairs]]+Names[[#This Row],[Quads]]</f>
        <v>10</v>
      </c>
      <c r="AE7">
        <f>Names[[#This Row],[Pairs]]*2 + Names[[#This Row],[Quads]]*4</f>
        <v>40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73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73.000000986933074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73.000000986933074</v>
      </c>
      <c r="V8">
        <f ca="1">_xlfn.RANK.EQ(Games[[#This Row],[Sort]],Games[Sort],1)</f>
        <v>73</v>
      </c>
      <c r="W8" t="str">
        <f>IF(COUNT(Games[QuadRank])&gt;0,_xlfn.RANK.EQ(Games[[#This Row],[QuadSort]],Games[QuadSort],1),"")</f>
        <v/>
      </c>
      <c r="X8" s="5"/>
      <c r="Y8" s="5"/>
      <c r="AA8" t="s">
        <v>67</v>
      </c>
      <c r="AB8">
        <v>12</v>
      </c>
      <c r="AC8">
        <v>0</v>
      </c>
      <c r="AD8">
        <f>Names[[#This Row],[Pairs]]+Names[[#This Row],[Quads]]</f>
        <v>12</v>
      </c>
      <c r="AE8">
        <f>Names[[#This Row],[Pairs]]*2 + Names[[#This Row],[Quads]]*4</f>
        <v>24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9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9.0000026651491289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9.0000026651491289</v>
      </c>
      <c r="V9">
        <f ca="1">_xlfn.RANK.EQ(Games[[#This Row],[Sort]],Games[Sort],1)</f>
        <v>9</v>
      </c>
      <c r="W9" t="str">
        <f>IF(COUNT(Games[QuadRank])&gt;0,_xlfn.RANK.EQ(Games[[#This Row],[QuadSort]],Games[QuadSort],1),"")</f>
        <v/>
      </c>
      <c r="X9" s="5"/>
      <c r="Y9" s="5"/>
      <c r="AD9">
        <f>Names[[#This Row],[Pairs]]+Names[[#This Row],[Quads]]</f>
        <v>0</v>
      </c>
      <c r="AE9">
        <f>Names[[#This Row],[Pairs]]*2 + Names[[#This Row],[Quads]]*4</f>
        <v>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72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72.000000536200986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72.000000536200986</v>
      </c>
      <c r="V10">
        <f ca="1">_xlfn.RANK.EQ(Games[[#This Row],[Sort]],Games[Sort],1)</f>
        <v>72</v>
      </c>
      <c r="W10" t="str">
        <f>IF(COUNT(Games[QuadRank])&gt;0,_xlfn.RANK.EQ(Games[[#This Row],[QuadSort]],Games[QuadSort],1),"")</f>
        <v/>
      </c>
      <c r="X10" s="5"/>
      <c r="Y10" s="5"/>
      <c r="AD10">
        <f>Names[[#This Row],[Pairs]]+Names[[#This Row],[Quads]]</f>
        <v>0</v>
      </c>
      <c r="AE10">
        <f>Names[[#This Row],[Pairs]]*2 + Names[[#This Row],[Quads]]*4</f>
        <v>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71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71.000000269157098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71.000000269157098</v>
      </c>
      <c r="V11">
        <f ca="1">_xlfn.RANK.EQ(Games[[#This Row],[Sort]],Games[Sort],1)</f>
        <v>71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70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70.000001611413339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70.000001611413339</v>
      </c>
      <c r="V12">
        <f ca="1">_xlfn.RANK.EQ(Games[[#This Row],[Sort]],Games[Sort],1)</f>
        <v>70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69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69.000000213943565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69.000000213943565</v>
      </c>
      <c r="V13">
        <f ca="1">_xlfn.RANK.EQ(Games[[#This Row],[Sort]],Games[Sort],1)</f>
        <v>69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25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25.000000532733992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25.000000532733992</v>
      </c>
      <c r="V14">
        <f ca="1">_xlfn.RANK.EQ(Games[[#This Row],[Sort]],Games[Sort],1)</f>
        <v>25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68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68.000002070253004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68.000002070253004</v>
      </c>
      <c r="V15">
        <f ca="1">_xlfn.RANK.EQ(Games[[#This Row],[Sort]],Games[Sort],1)</f>
        <v>68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2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2.0000003717471952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2.0000003717471952</v>
      </c>
      <c r="V16">
        <f ca="1">_xlfn.RANK.EQ(Games[[#This Row],[Sort]],Games[Sort],1)</f>
        <v>2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67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67.00000098252508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67.00000098252508</v>
      </c>
      <c r="V17">
        <f ca="1">_xlfn.RANK.EQ(Games[[#This Row],[Sort]],Games[Sort],1)</f>
        <v>67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52</v>
      </c>
      <c r="AC17">
        <f>SUBTOTAL(109,Names[Quads])</f>
        <v>18</v>
      </c>
      <c r="AD17">
        <f>SUBTOTAL(109,Names[Games])</f>
        <v>70</v>
      </c>
      <c r="AE17">
        <f>SUBTOTAL(109,Names[Tickets])</f>
        <v>176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66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66.000001959825923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66.000001959825923</v>
      </c>
      <c r="V18">
        <f ca="1">_xlfn.RANK.EQ(Games[[#This Row],[Sort]],Games[Sort],1)</f>
        <v>66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74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65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65.000000562356149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65.000000562356149</v>
      </c>
      <c r="V19">
        <f ca="1">_xlfn.RANK.EQ(Games[[#This Row],[Sort]],Games[Sort],1)</f>
        <v>65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63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24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24.000000979058086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24.000000979058086</v>
      </c>
      <c r="V20">
        <f ca="1">_xlfn.RANK.EQ(Games[[#This Row],[Sort]],Games[Sort],1)</f>
        <v>24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64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64.000002418665588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64.000002418665588</v>
      </c>
      <c r="V21">
        <f ca="1">_xlfn.RANK.EQ(Games[[#This Row],[Sort]],Games[Sort],1)</f>
        <v>64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3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3.0000008180712898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3.0000008180712898</v>
      </c>
      <c r="V22">
        <f ca="1">_xlfn.RANK.EQ(Games[[#This Row],[Sort]],Games[Sort],1)</f>
        <v>3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63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63.000001428849181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63.000001428849181</v>
      </c>
      <c r="V23">
        <f ca="1">_xlfn.RANK.EQ(Games[[#This Row],[Sort]],Games[Sort],1)</f>
        <v>63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62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62.000001700889612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62.000001700889612</v>
      </c>
      <c r="V24">
        <f ca="1">_xlfn.RANK.EQ(Games[[#This Row],[Sort]],Games[Sort],1)</f>
        <v>62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26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26.000000303419828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26.000000303419828</v>
      </c>
      <c r="V25">
        <f ca="1">_xlfn.RANK.EQ(Games[[#This Row],[Sort]],Games[Sort],1)</f>
        <v>26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61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61.000001645676072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61.000001645676072</v>
      </c>
      <c r="V26">
        <f ca="1">_xlfn.RANK.EQ(Games[[#This Row],[Sort]],Games[Sort],1)</f>
        <v>61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17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17.00000174820326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17.00000174820326</v>
      </c>
      <c r="V27">
        <f ca="1">_xlfn.RANK.EQ(Games[[#This Row],[Sort]],Games[Sort],1)</f>
        <v>17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60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60.000000762259482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60.000000762259482</v>
      </c>
      <c r="V28">
        <f ca="1">_xlfn.RANK.EQ(Games[[#This Row],[Sort]],Games[Sort],1)</f>
        <v>60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4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4.0000012456534941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4.0000012456534941</v>
      </c>
      <c r="V29">
        <f ca="1">_xlfn.RANK.EQ(Games[[#This Row],[Sort]],Games[Sort],1)</f>
        <v>4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59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59.000001856431382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59.000001856431382</v>
      </c>
      <c r="V30">
        <f ca="1">_xlfn.RANK.EQ(Games[[#This Row],[Sort]],Games[Sort],1)</f>
        <v>59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58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58.000002049302196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58.000002049302196</v>
      </c>
      <c r="V31">
        <f ca="1">_xlfn.RANK.EQ(Games[[#This Row],[Sort]],Games[Sort],1)</f>
        <v>58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57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57.000000651832416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57.000000651832416</v>
      </c>
      <c r="V32">
        <f ca="1">_xlfn.RANK.EQ(Games[[#This Row],[Sort]],Games[Sort],1)</f>
        <v>57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16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16.00000221113482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16.00000221113482</v>
      </c>
      <c r="V33">
        <f ca="1">_xlfn.RANK.EQ(Games[[#This Row],[Sort]],Games[Sort],1)</f>
        <v>16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56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56.000001110672073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56.000001110672073</v>
      </c>
      <c r="V34">
        <f ca="1">_xlfn.RANK.EQ(Games[[#This Row],[Sort]],Games[Sort],1)</f>
        <v>56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5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5.0000016919775883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5.0000016919775883</v>
      </c>
      <c r="V35">
        <f ca="1">_xlfn.RANK.EQ(Games[[#This Row],[Sort]],Games[Sort],1)</f>
        <v>5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55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55.000002302755476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55.000002302755476</v>
      </c>
      <c r="V36">
        <f ca="1">_xlfn.RANK.EQ(Games[[#This Row],[Sort]],Games[Sort],1)</f>
        <v>55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54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54.00000239771478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54.00000239771478</v>
      </c>
      <c r="V37">
        <f ca="1">_xlfn.RANK.EQ(Games[[#This Row],[Sort]],Games[Sort],1)</f>
        <v>54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10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10.000001000244998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10.000001000244998</v>
      </c>
      <c r="V38">
        <f ca="1">_xlfn.RANK.EQ(Games[[#This Row],[Sort]],Games[Sort],1)</f>
        <v>10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29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29.000002638717024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29.000002638717024</v>
      </c>
      <c r="V39">
        <f ca="1">_xlfn.RANK.EQ(Games[[#This Row],[Sort]],Games[Sort],1)</f>
        <v>29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53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53.000001569511731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53.000001569511731</v>
      </c>
      <c r="V40">
        <f ca="1">_xlfn.RANK.EQ(Games[[#This Row],[Sort]],Games[Sort],1)</f>
        <v>53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1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1.0000001720419478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1.0000001720419478</v>
      </c>
      <c r="V41">
        <f ca="1">_xlfn.RANK.EQ(Games[[#This Row],[Sort]],Games[Sort],1)</f>
        <v>1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52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52.000001514298191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52.000001514298191</v>
      </c>
      <c r="V42">
        <f ca="1">_xlfn.RANK.EQ(Games[[#This Row],[Sort]],Games[Sort],1)</f>
        <v>52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51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51.00000011682841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51.00000011682841</v>
      </c>
      <c r="V43">
        <f ca="1">_xlfn.RANK.EQ(Games[[#This Row],[Sort]],Games[Sort],1)</f>
        <v>51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50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50.000000225289654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50.000000225289654</v>
      </c>
      <c r="V44">
        <f ca="1">_xlfn.RANK.EQ(Games[[#This Row],[Sort]],Games[Sort],1)</f>
        <v>50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1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49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49.000002343784232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49.000002343784232</v>
      </c>
      <c r="V45">
        <f ca="1">_xlfn.RANK.EQ(Games[[#This Row],[Sort]],Games[Sort],1)</f>
        <v>49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11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11.000002344388298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11.000002344388298</v>
      </c>
      <c r="V46">
        <f ca="1">_xlfn.RANK.EQ(Games[[#This Row],[Sort]],Games[Sort],1)</f>
        <v>11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48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48.000001512332361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48.000001512332361</v>
      </c>
      <c r="V47">
        <f ca="1">_xlfn.RANK.EQ(Games[[#This Row],[Sort]],Games[Sort],1)</f>
        <v>48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28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28.000000849769918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28.000000849769918</v>
      </c>
      <c r="V48">
        <f ca="1">_xlfn.RANK.EQ(Games[[#This Row],[Sort]],Games[Sort],1)</f>
        <v>28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47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47.000002192026166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47.000002192026166</v>
      </c>
      <c r="V49">
        <f ca="1">_xlfn.RANK.EQ(Games[[#This Row],[Sort]],Games[Sort],1)</f>
        <v>47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6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6.0000021368126273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6.0000021368126273</v>
      </c>
      <c r="V50">
        <f ca="1">_xlfn.RANK.EQ(Games[[#This Row],[Sort]],Games[Sort],1)</f>
        <v>6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1</v>
      </c>
      <c r="C51" t="s">
        <v>7</v>
      </c>
      <c r="D51" s="14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46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46.000001947401508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46.000001947401508</v>
      </c>
      <c r="V51">
        <f ca="1">_xlfn.RANK.EQ(Games[[#This Row],[Sort]],Games[Sort],1)</f>
        <v>46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0</v>
      </c>
      <c r="C52" t="s">
        <v>7</v>
      </c>
      <c r="D52" s="14"/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27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27.0000025581794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27.0000025581794</v>
      </c>
      <c r="V52">
        <f ca="1">_xlfn.RANK.EQ(Games[[#This Row],[Sort]],Games[Sort],1)</f>
        <v>27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45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45.00000248522521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45.00000248522521</v>
      </c>
      <c r="V53">
        <f ca="1">_xlfn.RANK.EQ(Games[[#This Row],[Sort]],Games[Sort],1)</f>
        <v>45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44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44.000002393725602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44.000002393725602</v>
      </c>
      <c r="V54">
        <f ca="1">_xlfn.RANK.EQ(Games[[#This Row],[Sort]],Games[Sort],1)</f>
        <v>44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12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12.000000264777468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12.000000264777468</v>
      </c>
      <c r="V55">
        <f ca="1">_xlfn.RANK.EQ(Games[[#This Row],[Sort]],Games[Sort],1)</f>
        <v>12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43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43.000001767449234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43.000001767449234</v>
      </c>
      <c r="V56">
        <f ca="1">_xlfn.RANK.EQ(Games[[#This Row],[Sort]],Games[Sort],1)</f>
        <v>43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42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42.000000369979453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42.000000369979453</v>
      </c>
      <c r="V57">
        <f ca="1">_xlfn.RANK.EQ(Games[[#This Row],[Sort]],Games[Sort],1)</f>
        <v>42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18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18.000000600739014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18.000000600739014</v>
      </c>
      <c r="V58">
        <f ca="1">_xlfn.RANK.EQ(Games[[#This Row],[Sort]],Games[Sort],1)</f>
        <v>18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41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41.000000828819111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41.000000828819111</v>
      </c>
      <c r="V59">
        <f ca="1">_xlfn.RANK.EQ(Games[[#This Row],[Sort]],Games[Sort],1)</f>
        <v>41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13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13.000002171075359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13.000002171075359</v>
      </c>
      <c r="V60">
        <f ca="1">_xlfn.RANK.EQ(Games[[#This Row],[Sort]],Games[Sort],1)</f>
        <v>13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40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40.00000069235967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40.00000069235967</v>
      </c>
      <c r="V61">
        <f ca="1">_xlfn.RANK.EQ(Games[[#This Row],[Sort]],Games[Sort],1)</f>
        <v>40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39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39.000000718392037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39.000000718392037</v>
      </c>
      <c r="V62">
        <f ca="1">_xlfn.RANK.EQ(Games[[#This Row],[Sort]],Games[Sort],1)</f>
        <v>39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20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20.000002060648285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20.000002060648285</v>
      </c>
      <c r="V63">
        <f ca="1">_xlfn.RANK.EQ(Games[[#This Row],[Sort]],Games[Sort],1)</f>
        <v>20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38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38.000001030455643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38.000001030455643</v>
      </c>
      <c r="V64">
        <f ca="1">_xlfn.RANK.EQ(Games[[#This Row],[Sort]],Games[Sort],1)</f>
        <v>38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19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19.000002464274406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19.000002464274406</v>
      </c>
      <c r="V65">
        <f ca="1">_xlfn.RANK.EQ(Games[[#This Row],[Sort]],Games[Sort],1)</f>
        <v>19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37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37.000001066804629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37.000001066804629</v>
      </c>
      <c r="V66">
        <f ca="1">_xlfn.RANK.EQ(Games[[#This Row],[Sort]],Games[Sort],1)</f>
        <v>37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36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36.000000404242186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36.000000404242186</v>
      </c>
      <c r="V67">
        <f ca="1">_xlfn.RANK.EQ(Games[[#This Row],[Sort]],Games[Sort],1)</f>
        <v>36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35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35.000001116474877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35.000001116474877</v>
      </c>
      <c r="V68">
        <f ca="1">_xlfn.RANK.EQ(Games[[#This Row],[Sort]],Games[Sort],1)</f>
        <v>35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34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34.000000349028646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34.000000349028646</v>
      </c>
      <c r="V69">
        <f ca="1">_xlfn.RANK.EQ(Games[[#This Row],[Sort]],Games[Sort],1)</f>
        <v>34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7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7.0000007416969785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7.0000007416969785</v>
      </c>
      <c r="V70">
        <f ca="1">_xlfn.RANK.EQ(Games[[#This Row],[Sort]],Games[Sort],1)</f>
        <v>7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33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33.000001352474868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33.000001352474868</v>
      </c>
      <c r="V71">
        <f ca="1">_xlfn.RANK.EQ(Games[[#This Row],[Sort]],Games[Sort],1)</f>
        <v>33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32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32.00000163607136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32.00000163607136</v>
      </c>
      <c r="V72">
        <f ca="1">_xlfn.RANK.EQ(Games[[#This Row],[Sort]],Games[Sort],1)</f>
        <v>32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21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21.000000238601576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21.000000238601576</v>
      </c>
      <c r="V73">
        <f ca="1">_xlfn.RANK.EQ(Games[[#This Row],[Sort]],Games[Sort],1)</f>
        <v>21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31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31.000001707178306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31.000001707178306</v>
      </c>
      <c r="V74">
        <f ca="1">_xlfn.RANK.EQ(Games[[#This Row],[Sort]],Games[Sort],1)</f>
        <v>31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79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79.000000697441237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79.000000697441237</v>
      </c>
      <c r="V75">
        <f ca="1">_xlfn.RANK.EQ(Games[[#This Row],[Sort]],Games[Sort],1)</f>
        <v>79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80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80.000001188021074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80.000001188021074</v>
      </c>
      <c r="V76">
        <f ca="1">_xlfn.RANK.EQ(Games[[#This Row],[Sort]],Games[Sort],1)</f>
        <v>80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81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81.000001798798962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81.000001798798962</v>
      </c>
      <c r="V77">
        <f ca="1">_xlfn.RANK.EQ(Games[[#This Row],[Sort]],Games[Sort],1)</f>
        <v>81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22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22.000001321921502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22.000001321921502</v>
      </c>
      <c r="V78">
        <f ca="1">_xlfn.RANK.EQ(Games[[#This Row],[Sort]],Games[Sort],1)</f>
        <v>22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78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78.000002664177742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78.000002664177742</v>
      </c>
      <c r="V79">
        <f ca="1">_xlfn.RANK.EQ(Games[[#This Row],[Sort]],Games[Sort],1)</f>
        <v>78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14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14.000001780761162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14.000001780761162</v>
      </c>
      <c r="V80">
        <f ca="1">_xlfn.RANK.EQ(Games[[#This Row],[Sort]],Games[Sort],1)</f>
        <v>14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30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30.000001615603278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30.000001615603278</v>
      </c>
      <c r="V81">
        <f ca="1">_xlfn.RANK.EQ(Games[[#This Row],[Sort]],Games[Sort],1)</f>
        <v>30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15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15.000000384734056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15.000000384734056</v>
      </c>
      <c r="V82">
        <f ca="1">_xlfn.RANK.EQ(Games[[#This Row],[Sort]],Games[Sort],1)</f>
        <v>15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2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4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5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6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8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