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844B21AD-464B-4C75-9D23-0BE13089FB7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<sst xmlns="http://schemas.openxmlformats.org/spreadsheetml/2006/main" count="228" uniqueCount="64">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</sst>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30"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9" dataDxfId="28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7">
      <calculatedColumnFormula>TEXT(Games[[#This Row],[Date]], "ddd")</calculatedColumnFormula>
    </tableColumn>
    <tableColumn id="2" xr3:uid="{00000000-0010-0000-0000-000002000000}" name="Date" dataDxfId="26"/>
    <tableColumn id="5" xr3:uid="{00000000-0010-0000-0000-000005000000}" name="Time" dataDxfId="25"/>
    <tableColumn id="4" xr3:uid="{00000000-0010-0000-0000-000004000000}" name="Opponent" dataDxfId="24"/>
    <tableColumn id="7" xr3:uid="{9E8F088B-1EA6-44CA-B818-1F7D43F5D5E7}" name="Type" dataCellStyle="Normal"/>
    <tableColumn id="8" xr3:uid="{AA6D2002-4C78-4093-9793-A575FAC0F72F}" name="Price" dataDxfId="23" dataCellStyle="Currency">
      <calculatedColumnFormula>_xlfn.XLOOKUP(Games[[#This Row],[Type]],Types[Type],Types[Price])</calculatedColumnFormula>
    </tableColumn>
    <tableColumn id="21" xr3:uid="{6605C5A5-6B7D-4186-8D6F-A61D7DFDD8D4}" name="GamePairs" dataDxfId="22">
      <calculatedColumnFormula>_xlfn.XLOOKUP(Games[[#This Row],[Type]],Types[Type],Types[Pairs])</calculatedColumnFormula>
    </tableColumn>
    <tableColumn id="15" xr3:uid="{9471ECAA-F4C1-478C-B117-15D31D83B2FA}" name="Seats" dataDxfId="21">
      <calculatedColumnFormula>TEXT(Games[[#This Row],[Price]],"$#,##0.00")&amp;" ("&amp;Games[[#This Row],[GamePairs]]*2&amp;")"</calculatedColumnFormula>
    </tableColumn>
    <tableColumn id="6" xr3:uid="{00000000-0010-0000-0000-000006000000}" name="Rank" dataDxfId="0"/>
    <tableColumn id="10" xr3:uid="{00000000-0010-0000-0000-00000A000000}" name="QuadRank" dataDxfId="20" dataCellStyle="Normal 2"/>
    <tableColumn id="13" xr3:uid="{10011C92-A32E-4605-8584-BDBE5EABC83A}" name="Sort" dataDxfId="19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8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7">
      <calculatedColumnFormula>_xlfn.RANK.EQ(Games[[#This Row],[Sort]],Games[Sort],1)</calculatedColumnFormula>
    </tableColumn>
    <tableColumn id="9" xr3:uid="{FE7F021A-A7DE-4DDD-9CB4-33114D9B6A5E}" name="QuadPick" dataDxfId="16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5"/>
    <tableColumn id="14" xr3:uid="{02873305-C254-48E4-9E8D-324FD18F7B69}" name="Comments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3" totalsRowDxfId="12"/>
    <tableColumn id="2" xr3:uid="{D785142C-C4FC-418F-A0C8-7745E2B467E4}" name="Price" dataDxfId="11" dataCellStyle="Currency"/>
    <tableColumn id="3" xr3:uid="{F14FCFFA-E6B3-465B-BEC9-D1AFB23F6C0D}" name="Pairs"/>
    <tableColumn id="4" xr3:uid="{77C90207-35F5-4AB4-B4C2-39C4FABA9268}" name="Games" totalsRowFunction="sum" dataDxfId="10">
      <calculatedColumnFormula>COUNTIF(Games[Type],Types[[#This Row],[Type]])</calculatedColumnFormula>
    </tableColumn>
    <tableColumn id="5" xr3:uid="{B143CB75-DF50-4323-85C5-10526A2643E2}" name="Tickets" totalsRowFunction="sum" dataDxfId="9">
      <calculatedColumnFormula>Types[[#This Row],[Games]]*Types[[#This Row],[Pairs]]*2</calculatedColumnFormula>
    </tableColumn>
    <tableColumn id="6" xr3:uid="{1050CF1C-249D-4CE7-A143-304C5582C5BA}" name="Cost" totalsRowFunction="sum" dataDxfId="8" totalsRowDxfId="7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6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5">
      <calculatedColumnFormula>Names[[#This Row],[Pairs]]+Names[[#This Row],[Quads]]</calculatedColumnFormula>
    </tableColumn>
    <tableColumn id="5" xr3:uid="{352D40E4-D431-4ADD-8BC1-66192541A0D2}" name="Tickets" totalsRowFunction="sum" dataDxfId="4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C39" sqref="C39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81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81.000000365359512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81.000000365359512</v>
      </c>
      <c r="V2">
        <f ca="1">_xlfn.RANK.EQ(Games[[#This Row],[Sort]],Games[Sort],1)</f>
        <v>81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80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80.00000111234209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80.00000111234209</v>
      </c>
      <c r="V3">
        <f ca="1">_xlfn.RANK.EQ(Games[[#This Row],[Sort]],Games[Sort],1)</f>
        <v>80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79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79.000001191191885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79.000001191191885</v>
      </c>
      <c r="V4">
        <f ca="1">_xlfn.RANK.EQ(Games[[#This Row],[Sort]],Games[Sort],1)</f>
        <v>79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39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39.000000297312965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39.000000297312965</v>
      </c>
      <c r="V5">
        <f ca="1">_xlfn.RANK.EQ(Games[[#This Row],[Sort]],Games[Sort],1)</f>
        <v>39</v>
      </c>
      <c r="W5" t="str">
        <f>IF(COUNT(Games[QuadRank])&gt;0,_xlfn.RANK.EQ(Games[[#This Row],[QuadSort]],Games[QuadSort],1),"")</f>
        <v/>
      </c>
      <c r="X5" s="5"/>
      <c r="Y5" s="5"/>
      <c r="AD5">
        <f>Names[[#This Row],[Pairs]]+Names[[#This Row],[Quads]]</f>
        <v>0</v>
      </c>
      <c r="AE5">
        <f>Names[[#This Row],[Pairs]]*2 + Names[[#This Row],[Quads]]*4</f>
        <v>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13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13.00000194689933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13.00000194689933</v>
      </c>
      <c r="V6">
        <f ca="1">_xlfn.RANK.EQ(Games[[#This Row],[Sort]],Games[Sort],1)</f>
        <v>13</v>
      </c>
      <c r="W6" t="str">
        <f>IF(COUNT(Games[QuadRank])&gt;0,_xlfn.RANK.EQ(Games[[#This Row],[QuadSort]],Games[QuadSort],1),"")</f>
        <v/>
      </c>
      <c r="X6" s="5"/>
      <c r="Y6" s="5"/>
      <c r="AD6">
        <f>Names[[#This Row],[Pairs]]+Names[[#This Row],[Quads]]</f>
        <v>0</v>
      </c>
      <c r="AE6">
        <f>Names[[#This Row],[Pairs]]*2 + Names[[#This Row],[Quads]]*4</f>
        <v>0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76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76.000001328718071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76.000001328718071</v>
      </c>
      <c r="V7">
        <f ca="1">_xlfn.RANK.EQ(Games[[#This Row],[Sort]],Games[Sort],1)</f>
        <v>76</v>
      </c>
      <c r="W7" t="str">
        <f>IF(COUNT(Games[QuadRank])&gt;0,_xlfn.RANK.EQ(Games[[#This Row],[QuadSort]],Games[QuadSort],1),"")</f>
        <v/>
      </c>
      <c r="X7" s="5"/>
      <c r="Y7" s="5"/>
      <c r="AD7">
        <f>Names[[#This Row],[Pairs]]+Names[[#This Row],[Quads]]</f>
        <v>0</v>
      </c>
      <c r="AE7">
        <f>Names[[#This Row],[Pairs]]*2 + Names[[#This Row],[Quads]]*4</f>
        <v>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31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31.000001588728896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31.000001588728896</v>
      </c>
      <c r="V8">
        <f ca="1">_xlfn.RANK.EQ(Games[[#This Row],[Sort]],Games[Sort],1)</f>
        <v>31</v>
      </c>
      <c r="W8" t="str">
        <f>IF(COUNT(Games[QuadRank])&gt;0,_xlfn.RANK.EQ(Games[[#This Row],[QuadSort]],Games[QuadSort],1),"")</f>
        <v/>
      </c>
      <c r="X8" s="5"/>
      <c r="Y8" s="5"/>
      <c r="AD8">
        <f>Names[[#This Row],[Pairs]]+Names[[#This Row],[Quads]]</f>
        <v>0</v>
      </c>
      <c r="AE8">
        <f>Names[[#This Row],[Pairs]]*2 + Names[[#This Row],[Quads]]*4</f>
        <v>0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8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8.0000003755215925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8.0000003755215925</v>
      </c>
      <c r="V9">
        <f ca="1">_xlfn.RANK.EQ(Games[[#This Row],[Sort]],Games[Sort],1)</f>
        <v>8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57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57.000000454371381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57.000000454371381</v>
      </c>
      <c r="V10">
        <f ca="1">_xlfn.RANK.EQ(Games[[#This Row],[Sort]],Games[Sort],1)</f>
        <v>57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40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40.000000642358003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40.000000642358003</v>
      </c>
      <c r="V11">
        <f ca="1">_xlfn.RANK.EQ(Games[[#This Row],[Sort]],Games[Sort],1)</f>
        <v>40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49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49.000002291944369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49.000002291944369</v>
      </c>
      <c r="V12">
        <f ca="1">_xlfn.RANK.EQ(Games[[#This Row],[Sort]],Games[Sort],1)</f>
        <v>49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22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22.000001201804707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22.000001201804707</v>
      </c>
      <c r="V13">
        <f ca="1">_xlfn.RANK.EQ(Games[[#This Row],[Sort]],Games[Sort],1)</f>
        <v>22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75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75.000001198692587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75.000001198692587</v>
      </c>
      <c r="V14">
        <f ca="1">_xlfn.RANK.EQ(Games[[#This Row],[Sort]],Games[Sort],1)</f>
        <v>75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32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32.000001933773937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32.000001933773937</v>
      </c>
      <c r="V15">
        <f ca="1">_xlfn.RANK.EQ(Games[[#This Row],[Sort]],Games[Sort],1)</f>
        <v>32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3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3.0000013823361678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3.0000013823361678</v>
      </c>
      <c r="V16">
        <f ca="1">_xlfn.RANK.EQ(Games[[#This Row],[Sort]],Games[Sort],1)</f>
        <v>3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58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58.00000146118596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58.00000146118596</v>
      </c>
      <c r="V17">
        <f ca="1">_xlfn.RANK.EQ(Games[[#This Row],[Sort]],Games[Sort],1)</f>
        <v>58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18</v>
      </c>
      <c r="AC17">
        <f>SUBTOTAL(109,Names[Quads])</f>
        <v>8</v>
      </c>
      <c r="AD17">
        <f>SUBTOTAL(109,Names[Games])</f>
        <v>26</v>
      </c>
      <c r="AE17">
        <f>SUBTOTAL(109,Names[Tickets])</f>
        <v>68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54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54.000000312941324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54.000000312941324</v>
      </c>
      <c r="V18">
        <f ca="1">_xlfn.RANK.EQ(Games[[#This Row],[Sort]],Games[Sort],1)</f>
        <v>54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128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23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23.000001962527691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23.000001962527691</v>
      </c>
      <c r="V19">
        <f ca="1">_xlfn.RANK.EQ(Games[[#This Row],[Sort]],Games[Sort],1)</f>
        <v>23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73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74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74.000002205507158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74.000002205507158</v>
      </c>
      <c r="V20">
        <f ca="1">_xlfn.RANK.EQ(Games[[#This Row],[Sort]],Games[Sort],1)</f>
        <v>74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1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1.0000026944969156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1.0000026944969156</v>
      </c>
      <c r="V21">
        <f ca="1">_xlfn.RANK.EQ(Games[[#This Row],[Sort]],Games[Sort],1)</f>
        <v>1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78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78.000002389150737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78.000002389150737</v>
      </c>
      <c r="V22">
        <f ca="1">_xlfn.RANK.EQ(Games[[#This Row],[Sort]],Games[Sort],1)</f>
        <v>78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10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10.000002468000535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10.000002468000535</v>
      </c>
      <c r="V23">
        <f ca="1">_xlfn.RANK.EQ(Games[[#This Row],[Sort]],Games[Sort],1)</f>
        <v>10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38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38.000001748126024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38.000001748126024</v>
      </c>
      <c r="V24">
        <f ca="1">_xlfn.RANK.EQ(Games[[#This Row],[Sort]],Games[Sort],1)</f>
        <v>38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50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50.000000657986362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50.000000657986362</v>
      </c>
      <c r="V25">
        <f ca="1">_xlfn.RANK.EQ(Games[[#This Row],[Sort]],Games[Sort],1)</f>
        <v>50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24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24.000002307572728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24.000002307572728</v>
      </c>
      <c r="V26">
        <f ca="1">_xlfn.RANK.EQ(Games[[#This Row],[Sort]],Games[Sort],1)</f>
        <v>24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73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73.000002410597986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73.000002410597986</v>
      </c>
      <c r="V27">
        <f ca="1">_xlfn.RANK.EQ(Games[[#This Row],[Sort]],Games[Sort],1)</f>
        <v>73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18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18.000000299815927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18.000000299815927</v>
      </c>
      <c r="V28">
        <f ca="1">_xlfn.RANK.EQ(Games[[#This Row],[Sort]],Games[Sort],1)</f>
        <v>18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45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45.000001652330248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45.000001652330248</v>
      </c>
      <c r="V29">
        <f ca="1">_xlfn.RANK.EQ(Games[[#This Row],[Sort]],Games[Sort],1)</f>
        <v>45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59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59.000001731180035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59.000001731180035</v>
      </c>
      <c r="V30">
        <f ca="1">_xlfn.RANK.EQ(Games[[#This Row],[Sort]],Games[Sort],1)</f>
        <v>59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41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41.000002508849001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41.000002508849001</v>
      </c>
      <c r="V31">
        <f ca="1">_xlfn.RANK.EQ(Games[[#This Row],[Sort]],Games[Sort],1)</f>
        <v>41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77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77.000001418709346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77.000001418709346</v>
      </c>
      <c r="V32">
        <f ca="1">_xlfn.RANK.EQ(Games[[#This Row],[Sort]],Games[Sort],1)</f>
        <v>77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72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72.000002670429978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72.000002670429978</v>
      </c>
      <c r="V33">
        <f ca="1">_xlfn.RANK.EQ(Games[[#This Row],[Sort]],Games[Sort],1)</f>
        <v>72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19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19.000001060538906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19.000001060538906</v>
      </c>
      <c r="V34">
        <f ca="1">_xlfn.RANK.EQ(Games[[#This Row],[Sort]],Games[Sort],1)</f>
        <v>19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42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42.000002659144819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42.000002659144819</v>
      </c>
      <c r="V35">
        <f ca="1">_xlfn.RANK.EQ(Games[[#This Row],[Sort]],Games[Sort],1)</f>
        <v>42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60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60.000002737994613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60.000002737994613</v>
      </c>
      <c r="V36">
        <f ca="1">_xlfn.RANK.EQ(Games[[#This Row],[Sort]],Games[Sort],1)</f>
        <v>60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47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47.000000529845956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47.000000529845956</v>
      </c>
      <c r="V37">
        <f ca="1">_xlfn.RANK.EQ(Games[[#This Row],[Sort]],Games[Sort],1)</f>
        <v>47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6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6.0000021794323217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6.0000021794323217</v>
      </c>
      <c r="V38">
        <f ca="1">_xlfn.RANK.EQ(Games[[#This Row],[Sort]],Games[Sort],1)</f>
        <v>6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71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71.000001933609482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71.000001933609482</v>
      </c>
      <c r="V39">
        <f ca="1">_xlfn.RANK.EQ(Games[[#This Row],[Sort]],Games[Sort],1)</f>
        <v>71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1</v>
      </c>
      <c r="C40" t="s">
        <v>7</v>
      </c>
      <c r="D40" s="14">
        <v>3</v>
      </c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44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44.000000702368474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44.000000702368474</v>
      </c>
      <c r="V40">
        <f ca="1">_xlfn.RANK.EQ(Games[[#This Row],[Sort]],Games[Sort],1)</f>
        <v>44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14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14.000002351954841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14.000002351954841</v>
      </c>
      <c r="V41">
        <f ca="1">_xlfn.RANK.EQ(Games[[#This Row],[Sort]],Games[Sort],1)</f>
        <v>14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25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25.000001261815182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25.000001261815182</v>
      </c>
      <c r="V42">
        <f ca="1">_xlfn.RANK.EQ(Games[[#This Row],[Sort]],Games[Sort],1)</f>
        <v>25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7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7.0000001716755209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7.0000001716755209</v>
      </c>
      <c r="V43">
        <f ca="1">_xlfn.RANK.EQ(Games[[#This Row],[Sort]],Games[Sort],1)</f>
        <v>7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5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5.000001975042518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5.000001975042518</v>
      </c>
      <c r="V44">
        <f ca="1">_xlfn.RANK.EQ(Games[[#This Row],[Sort]],Games[Sort],1)</f>
        <v>5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66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66.000002063080132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66.000002063080132</v>
      </c>
      <c r="V45">
        <f ca="1">_xlfn.RANK.EQ(Games[[#This Row],[Sort]],Games[Sort],1)</f>
        <v>66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61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61.000000630962127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61.000000630962127</v>
      </c>
      <c r="V46">
        <f ca="1">_xlfn.RANK.EQ(Games[[#This Row],[Sort]],Games[Sort],1)</f>
        <v>61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43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43.000001444349564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43.000001444349564</v>
      </c>
      <c r="V47">
        <f ca="1">_xlfn.RANK.EQ(Games[[#This Row],[Sort]],Games[Sort],1)</f>
        <v>43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51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51.000002678257992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51.000002678257992</v>
      </c>
      <c r="V48">
        <f ca="1">_xlfn.RANK.EQ(Games[[#This Row],[Sort]],Games[Sort],1)</f>
        <v>51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26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26.00000158811833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26.00000158811833</v>
      </c>
      <c r="V49">
        <f ca="1">_xlfn.RANK.EQ(Games[[#This Row],[Sort]],Games[Sort],1)</f>
        <v>26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2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2.0000021475650378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2.0000021475650378</v>
      </c>
      <c r="V50">
        <f ca="1">_xlfn.RANK.EQ(Games[[#This Row],[Sort]],Games[Sort],1)</f>
        <v>2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15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15.00000018370209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15.00000018370209</v>
      </c>
      <c r="V51">
        <f ca="1">_xlfn.RANK.EQ(Games[[#This Row],[Sort]],Games[Sort],1)</f>
        <v>15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1</v>
      </c>
      <c r="C52" t="s">
        <v>7</v>
      </c>
      <c r="D52" s="14">
        <v>2</v>
      </c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17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17.000000262551882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17.000000262551882</v>
      </c>
      <c r="V52">
        <f ca="1">_xlfn.RANK.EQ(Games[[#This Row],[Sort]],Games[Sort],1)</f>
        <v>17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20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20.000000168561989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20.000000168561989</v>
      </c>
      <c r="V53">
        <f ca="1">_xlfn.RANK.EQ(Games[[#This Row],[Sort]],Games[Sort],1)</f>
        <v>20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34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34.000001190516663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34.000001190516663</v>
      </c>
      <c r="V54">
        <f ca="1">_xlfn.RANK.EQ(Games[[#This Row],[Sort]],Games[Sort],1)</f>
        <v>34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62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62.000001269366457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62.000001269366457</v>
      </c>
      <c r="V55">
        <f ca="1">_xlfn.RANK.EQ(Games[[#This Row],[Sort]],Games[Sort],1)</f>
        <v>62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16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16.000001961917125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16.000001961917125</v>
      </c>
      <c r="V56">
        <f ca="1">_xlfn.RANK.EQ(Games[[#This Row],[Sort]],Games[Sort],1)</f>
        <v>16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4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4.0000008717774636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4.0000008717774636</v>
      </c>
      <c r="V57">
        <f ca="1">_xlfn.RANK.EQ(Games[[#This Row],[Sort]],Games[Sort],1)</f>
        <v>4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70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70.000000464981326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70.000000464981326</v>
      </c>
      <c r="V58">
        <f ca="1">_xlfn.RANK.EQ(Games[[#This Row],[Sort]],Games[Sort],1)</f>
        <v>70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35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35.000000513607027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35.000000513607027</v>
      </c>
      <c r="V59">
        <f ca="1">_xlfn.RANK.EQ(Games[[#This Row],[Sort]],Games[Sort],1)</f>
        <v>35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9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9.0000021631933969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9.0000021631933969</v>
      </c>
      <c r="V60">
        <f ca="1">_xlfn.RANK.EQ(Games[[#This Row],[Sort]],Games[Sort],1)</f>
        <v>9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63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63.000000532545961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63.000000532545961</v>
      </c>
      <c r="V61">
        <f ca="1">_xlfn.RANK.EQ(Games[[#This Row],[Sort]],Games[Sort],1)</f>
        <v>63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55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55.000001632500442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55.000001632500442</v>
      </c>
      <c r="V62">
        <f ca="1">_xlfn.RANK.EQ(Games[[#This Row],[Sort]],Games[Sort],1)</f>
        <v>55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27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27.000000542360784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27.000000542360784</v>
      </c>
      <c r="V63">
        <f ca="1">_xlfn.RANK.EQ(Games[[#This Row],[Sort]],Games[Sort],1)</f>
        <v>27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69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69.000002218778477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69.000002218778477</v>
      </c>
      <c r="V64">
        <f ca="1">_xlfn.RANK.EQ(Games[[#This Row],[Sort]],Games[Sort],1)</f>
        <v>69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46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46.000000743637059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46.000000743637059</v>
      </c>
      <c r="V65">
        <f ca="1">_xlfn.RANK.EQ(Games[[#This Row],[Sort]],Games[Sort],1)</f>
        <v>46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52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52.000002393223426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52.000002393223426</v>
      </c>
      <c r="V66">
        <f ca="1">_xlfn.RANK.EQ(Games[[#This Row],[Sort]],Games[Sort],1)</f>
        <v>52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28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28.000000887405822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28.000000887405822</v>
      </c>
      <c r="V67">
        <f ca="1">_xlfn.RANK.EQ(Games[[#This Row],[Sort]],Games[Sort],1)</f>
        <v>28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68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68.00000054004667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68.00000054004667</v>
      </c>
      <c r="V68">
        <f ca="1">_xlfn.RANK.EQ(Games[[#This Row],[Sort]],Games[Sort],1)</f>
        <v>68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21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21.000001446852529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21.000001446852529</v>
      </c>
      <c r="V69">
        <f ca="1">_xlfn.RANK.EQ(Games[[#This Row],[Sort]],Games[Sort],1)</f>
        <v>21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36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36.000001092100497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36.000001092100497</v>
      </c>
      <c r="V70">
        <f ca="1">_xlfn.RANK.EQ(Games[[#This Row],[Sort]],Games[Sort],1)</f>
        <v>36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64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64.000001170950284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64.000001170950284</v>
      </c>
      <c r="V71">
        <f ca="1">_xlfn.RANK.EQ(Games[[#This Row],[Sort]],Games[Sort],1)</f>
        <v>64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48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48.000000916159578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48.000000916159578</v>
      </c>
      <c r="V72">
        <f ca="1">_xlfn.RANK.EQ(Games[[#This Row],[Sort]],Games[Sort],1)</f>
        <v>48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53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53.000002565745945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53.000002565745945</v>
      </c>
      <c r="V73">
        <f ca="1">_xlfn.RANK.EQ(Games[[#This Row],[Sort]],Games[Sort],1)</f>
        <v>53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67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67.000002110200228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67.000002110200228</v>
      </c>
      <c r="V74">
        <f ca="1">_xlfn.RANK.EQ(Games[[#This Row],[Sort]],Games[Sort],1)</f>
        <v>67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33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33.000002207575513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33.000002207575513</v>
      </c>
      <c r="V75">
        <f ca="1">_xlfn.RANK.EQ(Games[[#This Row],[Sort]],Games[Sort],1)</f>
        <v>33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12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12.000002098915072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12.000002098915072</v>
      </c>
      <c r="V76">
        <f ca="1">_xlfn.RANK.EQ(Games[[#This Row],[Sort]],Games[Sort],1)</f>
        <v>12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65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65.000002177764856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65.000002177764856</v>
      </c>
      <c r="V77">
        <f ca="1">_xlfn.RANK.EQ(Games[[#This Row],[Sort]],Games[Sort],1)</f>
        <v>65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56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56.000000171064954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56.000000171064954</v>
      </c>
      <c r="V78">
        <f ca="1">_xlfn.RANK.EQ(Games[[#This Row],[Sort]],Games[Sort],1)</f>
        <v>56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29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29.000001820651324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29.000001820651324</v>
      </c>
      <c r="V79">
        <f ca="1">_xlfn.RANK.EQ(Games[[#This Row],[Sort]],Games[Sort],1)</f>
        <v>29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30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30.00000255262055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30.00000255262055</v>
      </c>
      <c r="V80">
        <f ca="1">_xlfn.RANK.EQ(Games[[#This Row],[Sort]],Games[Sort],1)</f>
        <v>30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11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11.000001362094576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11.000001362094576</v>
      </c>
      <c r="V81">
        <f ca="1">_xlfn.RANK.EQ(Games[[#This Row],[Sort]],Games[Sort],1)</f>
        <v>11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37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37.000000034327797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37.000000034327797</v>
      </c>
      <c r="V82">
        <f ca="1">_xlfn.RANK.EQ(Games[[#This Row],[Sort]],Games[Sort],1)</f>
        <v>37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3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2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5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