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95352D7C-783B-488F-A15C-E7668F4EC4F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<sst xmlns="http://schemas.openxmlformats.org/spreadsheetml/2006/main" count="234" uniqueCount="70">
  <si>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</si>
  <si>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</si>
  <si>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</si>
  <si>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</si>
  <si>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</si>
  <si>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</si>
  <si>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</si>
  <si>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</si>
  <si>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</si>
  <si>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</si>
  <si>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</si>
  <si>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</si>
  <si>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</si>
  <si>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</si>
  <si>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</si>
  <si>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</si>
  <si>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</si>
  <si>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</si>
  <si>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</si>
  <si>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</si>
  <si>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</si>
  <si>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</si>
  <si>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</si>
  <si>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</si>
  <si>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</si>
  <si>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</si>
  <si>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</si>
  <si>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</si>
  <si>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</si>
  <si>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</si>
  <si>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</si>
  <si>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</si>
  <si>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</si>
  <si>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</si>
  <si>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</si>
  <si>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</si>
  <si>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</si>
  <si>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</si>
  <si>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</si>
  <si>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</si>
  <si>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</si>
  <si>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</si>
  <si>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</si>
  <si>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</si>
  <si>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</si>
  <si>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</si>
  <si>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</si>
  <si>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</si>
  <si>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</si>
  <si>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</si>
  <si>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</si>
  <si>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</si>
  <si>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</si>
  <si>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</si>
  <si>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</si>
  <si>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</si>
  <si>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</si>
  <si>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</si>
  <si>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</si>
  <si>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</si>
  <si>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</si>
  <si>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</si>
  <si>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</si>
  <si>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</si>
  <si>
    <t>David Dorris</t>
  </si>
  <si>
    <t>Marcus Farbstein</t>
  </si>
  <si>
    <t>Nicoletta Saffelle</t>
  </si>
  <si>
    <t>Phil Goldman</t>
  </si>
  <si>
    <t>Rick Calder</t>
  </si>
  <si>
    <t>Sue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</si>
</sst>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32">
    <dxf>
      <font>
        <color theme="1"/>
        <family val="2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31" dataDxfId="30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9">
      <calculatedColumnFormula>TEXT(Games[[#This Row],[Date]], "ddd")</calculatedColumnFormula>
    </tableColumn>
    <tableColumn id="2" xr3:uid="{00000000-0010-0000-0000-000002000000}" name="Date" dataDxfId="28"/>
    <tableColumn id="5" xr3:uid="{00000000-0010-0000-0000-000005000000}" name="Time" dataDxfId="27"/>
    <tableColumn id="4" xr3:uid="{00000000-0010-0000-0000-000004000000}" name="Opponent" dataDxfId="26"/>
    <tableColumn id="7" xr3:uid="{9E8F088B-1EA6-44CA-B818-1F7D43F5D5E7}" name="Type" dataCellStyle="Normal"/>
    <tableColumn id="8" xr3:uid="{AA6D2002-4C78-4093-9793-A575FAC0F72F}" name="Price" dataDxfId="25" dataCellStyle="Currency">
      <calculatedColumnFormula>_xlfn.XLOOKUP(Games[[#This Row],[Type]],Types[Type],Types[Price])</calculatedColumnFormula>
    </tableColumn>
    <tableColumn id="21" xr3:uid="{6605C5A5-6B7D-4186-8D6F-A61D7DFDD8D4}" name="GamePairs" dataDxfId="24">
      <calculatedColumnFormula>_xlfn.XLOOKUP(Games[[#This Row],[Type]],Types[Type],Types[Pairs])</calculatedColumnFormula>
    </tableColumn>
    <tableColumn id="15" xr3:uid="{9471ECAA-F4C1-478C-B117-15D31D83B2FA}" name="Seats" dataDxfId="23">
      <calculatedColumnFormula>TEXT(Games[[#This Row],[Price]],"$#,##0.00")&amp;" ("&amp;Games[[#This Row],[GamePairs]]*2&amp;")"</calculatedColumnFormula>
    </tableColumn>
    <tableColumn id="6" xr3:uid="{00000000-0010-0000-0000-000006000000}" name="Rank" dataDxfId="0"/>
    <tableColumn id="10" xr3:uid="{00000000-0010-0000-0000-00000A000000}" name="QuadRank" dataDxfId="22" dataCellStyle="Normal 2"/>
    <tableColumn id="13" xr3:uid="{10011C92-A32E-4605-8584-BDBE5EABC83A}" name="Sort" dataDxfId="21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20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9">
      <calculatedColumnFormula>_xlfn.RANK.EQ(Games[[#This Row],[Sort]],Games[Sort],1)</calculatedColumnFormula>
    </tableColumn>
    <tableColumn id="9" xr3:uid="{FE7F021A-A7DE-4DDD-9CB4-33114D9B6A5E}" name="QuadPick" dataDxfId="18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7"/>
    <tableColumn id="14" xr3:uid="{02873305-C254-48E4-9E8D-324FD18F7B69}" name="Comments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5" totalsRowDxfId="14"/>
    <tableColumn id="2" xr3:uid="{D785142C-C4FC-418F-A0C8-7745E2B467E4}" name="Price" dataDxfId="13" dataCellStyle="Currency"/>
    <tableColumn id="3" xr3:uid="{F14FCFFA-E6B3-465B-BEC9-D1AFB23F6C0D}" name="Pairs"/>
    <tableColumn id="4" xr3:uid="{77C90207-35F5-4AB4-B4C2-39C4FABA9268}" name="Games" totalsRowFunction="sum" dataDxfId="12">
      <calculatedColumnFormula>COUNTIF(Games[Type],Types[[#This Row],[Type]])</calculatedColumnFormula>
    </tableColumn>
    <tableColumn id="5" xr3:uid="{B143CB75-DF50-4323-85C5-10526A2643E2}" name="Tickets" totalsRowFunction="sum" dataDxfId="11">
      <calculatedColumnFormula>Types[[#This Row],[Games]]*Types[[#This Row],[Pairs]]*2</calculatedColumnFormula>
    </tableColumn>
    <tableColumn id="6" xr3:uid="{1050CF1C-249D-4CE7-A143-304C5582C5BA}" name="Cost" totalsRowFunction="sum" dataDxfId="10" totalsRowDxfId="9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8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7">
      <calculatedColumnFormula>Names[[#This Row],[Pairs]]+Names[[#This Row],[Quads]]</calculatedColumnFormula>
    </tableColumn>
    <tableColumn id="5" xr3:uid="{352D40E4-D431-4ADD-8BC1-66192541A0D2}" name="Tickets" totalsRowFunction="sum" dataDxfId="6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19" activePane="bottomLeft" state="frozen"/>
      <selection pane="bottomLeft" activeCell="B40" sqref="B40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6.28515625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6" t="s">
        <v>2</v>
      </c>
      <c r="K1" s="17" t="s">
        <v>0</v>
      </c>
      <c r="L1" s="18" t="s">
        <v>1</v>
      </c>
      <c r="M1" s="16" t="s">
        <v>4</v>
      </c>
      <c r="N1" s="18" t="s">
        <v>26</v>
      </c>
      <c r="O1" s="18" t="s">
        <v>28</v>
      </c>
      <c r="P1" s="18" t="s">
        <v>35</v>
      </c>
      <c r="Q1" s="18" t="s">
        <v>36</v>
      </c>
      <c r="R1" s="19" t="s">
        <v>3</v>
      </c>
      <c r="S1" s="19" t="s">
        <v>27</v>
      </c>
      <c r="T1" s="18" t="s">
        <v>18</v>
      </c>
      <c r="U1" s="18" t="s">
        <v>34</v>
      </c>
      <c r="V1" s="18" t="s">
        <v>29</v>
      </c>
      <c r="W1" s="18" t="s">
        <v>30</v>
      </c>
      <c r="X1" s="16" t="s">
        <v>32</v>
      </c>
      <c r="Y1" s="16" t="s">
        <v>33</v>
      </c>
      <c r="AA1" s="16" t="s">
        <v>31</v>
      </c>
      <c r="AB1" s="16" t="s">
        <v>19</v>
      </c>
      <c r="AC1" s="16" t="s">
        <v>20</v>
      </c>
      <c r="AD1" s="16" t="s">
        <v>22</v>
      </c>
      <c r="AE1" s="16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4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23">
        <v>66</v>
      </c>
      <c r="S2" s="15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66.00000131673869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66.00000131673869</v>
      </c>
      <c r="V2">
        <f ca="1">_xlfn.RANK.EQ(Games[[#This Row],[Sort]],Games[Sort],1)</f>
        <v>66</v>
      </c>
      <c r="W2" t="str">
        <f>IF(COUNT(Games[QuadRank])&gt;0,_xlfn.RANK.EQ(Games[[#This Row],[QuadSort]],Games[QuadSort],1),"")</f>
        <v/>
      </c>
      <c r="X2" s="5"/>
      <c r="Y2" s="5"/>
      <c r="AA2" s="20" t="s">
        <v>61</v>
      </c>
      <c r="AB2" s="21">
        <v>10</v>
      </c>
      <c r="AC2" s="21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4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23">
        <v>65</v>
      </c>
      <c r="S3" s="15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65.000000999730332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65.000000999730332</v>
      </c>
      <c r="V3">
        <f ca="1">_xlfn.RANK.EQ(Games[[#This Row],[Sort]],Games[Sort],1)</f>
        <v>65</v>
      </c>
      <c r="W3" t="str">
        <f>IF(COUNT(Games[QuadRank])&gt;0,_xlfn.RANK.EQ(Games[[#This Row],[QuadSort]],Games[QuadSort],1),"")</f>
        <v/>
      </c>
      <c r="X3" s="5"/>
      <c r="Y3" s="5"/>
      <c r="AA3" s="20" t="s">
        <v>62</v>
      </c>
      <c r="AB3" s="21">
        <v>2</v>
      </c>
      <c r="AC3" s="21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4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23">
        <v>23</v>
      </c>
      <c r="S4" s="15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23.000000195229372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23.000000195229372</v>
      </c>
      <c r="V4">
        <f ca="1">_xlfn.RANK.EQ(Games[[#This Row],[Sort]],Games[Sort],1)</f>
        <v>23</v>
      </c>
      <c r="W4" t="str">
        <f>IF(COUNT(Games[QuadRank])&gt;0,_xlfn.RANK.EQ(Games[[#This Row],[QuadSort]],Games[QuadSort],1),"")</f>
        <v/>
      </c>
      <c r="X4" s="5"/>
      <c r="Y4" s="5"/>
      <c r="AA4" s="20" t="s">
        <v>63</v>
      </c>
      <c r="AB4" s="21">
        <v>6</v>
      </c>
      <c r="AC4" s="21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4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23">
        <v>14</v>
      </c>
      <c r="S5" s="15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14.000001618335112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14.000001618335112</v>
      </c>
      <c r="V5">
        <f ca="1">_xlfn.RANK.EQ(Games[[#This Row],[Sort]],Games[Sort],1)</f>
        <v>14</v>
      </c>
      <c r="W5" t="str">
        <f>IF(COUNT(Games[QuadRank])&gt;0,_xlfn.RANK.EQ(Games[[#This Row],[QuadSort]],Games[QuadSort],1),"")</f>
        <v/>
      </c>
      <c r="X5" s="5"/>
      <c r="Y5" s="5"/>
      <c r="AA5" t="s">
        <v>64</v>
      </c>
      <c r="AB5">
        <v>10</v>
      </c>
      <c r="AC5">
        <v>0</v>
      </c>
      <c r="AD5">
        <f>Names[[#This Row],[Pairs]]+Names[[#This Row],[Quads]]</f>
        <v>10</v>
      </c>
      <c r="AE5">
        <f>Names[[#This Row],[Pairs]]*2 + Names[[#This Row],[Quads]]*4</f>
        <v>20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4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23">
        <v>55</v>
      </c>
      <c r="S6" s="15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55.000002716464408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55.000002716464408</v>
      </c>
      <c r="V6">
        <f ca="1">_xlfn.RANK.EQ(Games[[#This Row],[Sort]],Games[Sort],1)</f>
        <v>55</v>
      </c>
      <c r="W6" t="str">
        <f>IF(COUNT(Games[QuadRank])&gt;0,_xlfn.RANK.EQ(Games[[#This Row],[QuadSort]],Games[QuadSort],1),"")</f>
        <v/>
      </c>
      <c r="X6" s="5"/>
      <c r="Y6" s="5"/>
      <c r="AA6" t="s">
        <v>65</v>
      </c>
      <c r="AB6">
        <v>12</v>
      </c>
      <c r="AC6">
        <v>0</v>
      </c>
      <c r="AD6">
        <f>Names[[#This Row],[Pairs]]+Names[[#This Row],[Quads]]</f>
        <v>12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4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23">
        <v>54</v>
      </c>
      <c r="S7" s="15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54.00000185125991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54.00000185125991</v>
      </c>
      <c r="V7">
        <f ca="1">_xlfn.RANK.EQ(Games[[#This Row],[Sort]],Games[Sort],1)</f>
        <v>54</v>
      </c>
      <c r="W7" t="str">
        <f>IF(COUNT(Games[QuadRank])&gt;0,_xlfn.RANK.EQ(Games[[#This Row],[QuadSort]],Games[QuadSort],1),"")</f>
        <v/>
      </c>
      <c r="X7" s="5"/>
      <c r="Y7" s="5"/>
      <c r="AA7" t="s">
        <v>66</v>
      </c>
      <c r="AB7">
        <v>0</v>
      </c>
      <c r="AC7">
        <v>10</v>
      </c>
      <c r="AD7">
        <f>Names[[#This Row],[Pairs]]+Names[[#This Row],[Quads]]</f>
        <v>10</v>
      </c>
      <c r="AE7">
        <f>Names[[#This Row],[Pairs]]*2 + Names[[#This Row],[Quads]]*4</f>
        <v>40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4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23">
        <v>24</v>
      </c>
      <c r="S8" s="15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24.000000598566821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24.000000598566821</v>
      </c>
      <c r="V8">
        <f ca="1">_xlfn.RANK.EQ(Games[[#This Row],[Sort]],Games[Sort],1)</f>
        <v>24</v>
      </c>
      <c r="W8" t="str">
        <f>IF(COUNT(Games[QuadRank])&gt;0,_xlfn.RANK.EQ(Games[[#This Row],[QuadSort]],Games[QuadSort],1),"")</f>
        <v/>
      </c>
      <c r="X8" s="5"/>
      <c r="Y8" s="5"/>
      <c r="AA8" t="s">
        <v>67</v>
      </c>
      <c r="AB8">
        <v>12</v>
      </c>
      <c r="AC8">
        <v>0</v>
      </c>
      <c r="AD8">
        <f>Names[[#This Row],[Pairs]]+Names[[#This Row],[Quads]]</f>
        <v>12</v>
      </c>
      <c r="AE8">
        <f>Names[[#This Row],[Pairs]]*2 + Names[[#This Row],[Quads]]*4</f>
        <v>24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4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23">
        <v>64</v>
      </c>
      <c r="S9" s="15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64.000000761120248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64.000000761120248</v>
      </c>
      <c r="V9">
        <f ca="1">_xlfn.RANK.EQ(Games[[#This Row],[Sort]],Games[Sort],1)</f>
        <v>64</v>
      </c>
      <c r="W9" t="str">
        <f>IF(COUNT(Games[QuadRank])&gt;0,_xlfn.RANK.EQ(Games[[#This Row],[QuadSort]],Games[QuadSort],1),"")</f>
        <v/>
      </c>
      <c r="X9" s="5"/>
      <c r="Y9" s="5"/>
      <c r="AA9" t="s">
        <v>68</v>
      </c>
      <c r="AB9">
        <v>0</v>
      </c>
      <c r="AC9">
        <v>8</v>
      </c>
      <c r="AD9">
        <f>Names[[#This Row],[Pairs]]+Names[[#This Row],[Quads]]</f>
        <v>8</v>
      </c>
      <c r="AE9">
        <f>Names[[#This Row],[Pairs]]*2 + Names[[#This Row],[Quads]]*4</f>
        <v>32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4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23">
        <v>53</v>
      </c>
      <c r="S10" s="15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53.000002696345312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53.000002696345312</v>
      </c>
      <c r="V10">
        <f ca="1">_xlfn.RANK.EQ(Games[[#This Row],[Sort]],Games[Sort],1)</f>
        <v>53</v>
      </c>
      <c r="W10" t="str">
        <f>IF(COUNT(Games[QuadRank])&gt;0,_xlfn.RANK.EQ(Games[[#This Row],[QuadSort]],Games[QuadSort],1),"")</f>
        <v/>
      </c>
      <c r="X10" s="5"/>
      <c r="Y10" s="5"/>
      <c r="AA10" t="s">
        <v>69</v>
      </c>
      <c r="AB10">
        <v>0</v>
      </c>
      <c r="AC10">
        <v>20</v>
      </c>
      <c r="AD10">
        <f>Names[[#This Row],[Pairs]]+Names[[#This Row],[Quads]]</f>
        <v>20</v>
      </c>
      <c r="AE10">
        <f>Names[[#This Row],[Pairs]]*2 + Names[[#This Row],[Quads]]*4</f>
        <v>80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4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23">
        <v>8</v>
      </c>
      <c r="S11" s="15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8.0000017526682612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8.0000017526682612</v>
      </c>
      <c r="V11">
        <f ca="1">_xlfn.RANK.EQ(Games[[#This Row],[Sort]],Games[Sort],1)</f>
        <v>8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4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23">
        <v>16</v>
      </c>
      <c r="S12" s="15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16.000000111071532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16.000000111071532</v>
      </c>
      <c r="V12">
        <f ca="1">_xlfn.RANK.EQ(Games[[#This Row],[Sort]],Games[Sort],1)</f>
        <v>16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4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23">
        <v>25</v>
      </c>
      <c r="S13" s="15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25.000001209200828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25.000001209200828</v>
      </c>
      <c r="V13">
        <f ca="1">_xlfn.RANK.EQ(Games[[#This Row],[Sort]],Games[Sort],1)</f>
        <v>25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4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23">
        <v>26</v>
      </c>
      <c r="S14" s="15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26.00000187618539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26.00000187618539</v>
      </c>
      <c r="V14">
        <f ca="1">_xlfn.RANK.EQ(Games[[#This Row],[Sort]],Games[Sort],1)</f>
        <v>26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4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23">
        <v>39</v>
      </c>
      <c r="S15" s="15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39.00000073289997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39.00000073289997</v>
      </c>
      <c r="V15">
        <f ca="1">_xlfn.RANK.EQ(Games[[#This Row],[Sort]],Games[Sort],1)</f>
        <v>39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4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23">
        <v>40</v>
      </c>
      <c r="S16" s="15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40.000001116260464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40.000001116260464</v>
      </c>
      <c r="V16">
        <f ca="1">_xlfn.RANK.EQ(Games[[#This Row],[Sort]],Games[Sort],1)</f>
        <v>40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4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23">
        <v>22</v>
      </c>
      <c r="S17" s="15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22.000000311759496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22.000000311759496</v>
      </c>
      <c r="V17">
        <f ca="1">_xlfn.RANK.EQ(Games[[#This Row],[Sort]],Games[Sort],1)</f>
        <v>22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52</v>
      </c>
      <c r="AC17">
        <f>SUBTOTAL(109,Names[Quads])</f>
        <v>46</v>
      </c>
      <c r="AD17">
        <f>SUBTOTAL(109,Names[Games])</f>
        <v>98</v>
      </c>
      <c r="AE17">
        <f>SUBTOTAL(109,Names[Tickets])</f>
        <v>288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4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23">
        <v>41</v>
      </c>
      <c r="S18" s="15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41.000002385691126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41.000002385691126</v>
      </c>
      <c r="V18">
        <f ca="1">_xlfn.RANK.EQ(Games[[#This Row],[Sort]],Games[Sort],1)</f>
        <v>41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18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4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23">
        <v>42</v>
      </c>
      <c r="S19" s="15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42.0000007440944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42.0000007440944</v>
      </c>
      <c r="V19">
        <f ca="1">_xlfn.RANK.EQ(Games[[#This Row],[Sort]],Games[Sort],1)</f>
        <v>42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35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4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23">
        <v>27</v>
      </c>
      <c r="S20" s="15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27.000002231325606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27.000002231325606</v>
      </c>
      <c r="V20">
        <f ca="1">_xlfn.RANK.EQ(Games[[#This Row],[Sort]],Games[Sort],1)</f>
        <v>27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4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23">
        <v>56</v>
      </c>
      <c r="S21" s="15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56.000000267793538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56.000000267793538</v>
      </c>
      <c r="V21">
        <f ca="1">_xlfn.RANK.EQ(Games[[#This Row],[Sort]],Games[Sort],1)</f>
        <v>56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4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23">
        <v>57</v>
      </c>
      <c r="S22" s="15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57.00000147140068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57.00000147140068</v>
      </c>
      <c r="V22">
        <f ca="1">_xlfn.RANK.EQ(Games[[#This Row],[Sort]],Games[Sort],1)</f>
        <v>57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4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23">
        <v>19</v>
      </c>
      <c r="S23" s="15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19.000000666899712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19.000000666899712</v>
      </c>
      <c r="V23">
        <f ca="1">_xlfn.RANK.EQ(Games[[#This Row],[Sort]],Games[Sort],1)</f>
        <v>19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4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23">
        <v>3</v>
      </c>
      <c r="S24" s="15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3.0000014218949809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3.0000014218949809</v>
      </c>
      <c r="V24">
        <f ca="1">_xlfn.RANK.EQ(Games[[#This Row],[Sort]],Games[Sort],1)</f>
        <v>3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4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2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4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23">
        <v>10</v>
      </c>
      <c r="S25" s="15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10.000002520024278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10.000002520024278</v>
      </c>
      <c r="V25">
        <f ca="1">_xlfn.RANK.EQ(Games[[#This Row],[Sort]],Games[Sort],1)</f>
        <v>10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2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4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23">
        <v>9</v>
      </c>
      <c r="S26" s="15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9.0000008784275476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9.0000008784275476</v>
      </c>
      <c r="V26">
        <f ca="1">_xlfn.RANK.EQ(Games[[#This Row],[Sort]],Games[Sort],1)</f>
        <v>9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4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23">
        <v>11</v>
      </c>
      <c r="S27" s="15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11.000000629455693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11.000000629455693</v>
      </c>
      <c r="V27">
        <f ca="1">_xlfn.RANK.EQ(Games[[#This Row],[Sort]],Games[Sort],1)</f>
        <v>11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2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4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23">
        <v>29</v>
      </c>
      <c r="S28" s="15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29.000000402126688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29.000000402126688</v>
      </c>
      <c r="V28">
        <f ca="1">_xlfn.RANK.EQ(Games[[#This Row],[Sort]],Games[Sort],1)</f>
        <v>29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2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4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23">
        <v>30</v>
      </c>
      <c r="S29" s="15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30.000001232790584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30.000001232790584</v>
      </c>
      <c r="V29">
        <f ca="1">_xlfn.RANK.EQ(Games[[#This Row],[Sort]],Games[Sort],1)</f>
        <v>30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2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4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23">
        <v>31</v>
      </c>
      <c r="S30" s="15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31.000000428289621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31.000000428289621</v>
      </c>
      <c r="V30">
        <f ca="1">_xlfn.RANK.EQ(Games[[#This Row],[Sort]],Games[Sort],1)</f>
        <v>31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4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23">
        <v>43</v>
      </c>
      <c r="S31" s="15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43.000000956788554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43.000000956788554</v>
      </c>
      <c r="V31">
        <f ca="1">_xlfn.RANK.EQ(Games[[#This Row],[Sort]],Games[Sort],1)</f>
        <v>43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4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23">
        <v>12</v>
      </c>
      <c r="S32" s="15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12.000002054917847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12.000002054917847</v>
      </c>
      <c r="V32">
        <f ca="1">_xlfn.RANK.EQ(Games[[#This Row],[Sort]],Games[Sort],1)</f>
        <v>12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4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23">
        <v>28</v>
      </c>
      <c r="S33" s="15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28.00000130160425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28.00000130160425</v>
      </c>
      <c r="V33">
        <f ca="1">_xlfn.RANK.EQ(Games[[#This Row],[Sort]],Games[Sort],1)</f>
        <v>28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4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23">
        <v>2</v>
      </c>
      <c r="S34" s="15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2.0000026767462851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2.0000026767462851</v>
      </c>
      <c r="V34">
        <f ca="1">_xlfn.RANK.EQ(Games[[#This Row],[Sort]],Games[Sort],1)</f>
        <v>2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4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23">
        <v>44</v>
      </c>
      <c r="S35" s="15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44.000001587930797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44.000001587930797</v>
      </c>
      <c r="V35">
        <f ca="1">_xlfn.RANK.EQ(Games[[#This Row],[Sort]],Games[Sort],1)</f>
        <v>44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4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23">
        <v>48</v>
      </c>
      <c r="S36" s="15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48.000000783429833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48.000000783429833</v>
      </c>
      <c r="V36">
        <f ca="1">_xlfn.RANK.EQ(Games[[#This Row],[Sort]],Games[Sort],1)</f>
        <v>48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4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23">
        <v>46</v>
      </c>
      <c r="S37" s="15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46.000000491682123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46.000000491682123</v>
      </c>
      <c r="V37">
        <f ca="1">_xlfn.RANK.EQ(Games[[#This Row],[Sort]],Games[Sort],1)</f>
        <v>46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4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23">
        <v>47</v>
      </c>
      <c r="S38" s="15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47.000001589811419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47.000001589811419</v>
      </c>
      <c r="V38">
        <f ca="1">_xlfn.RANK.EQ(Games[[#This Row],[Sort]],Games[Sort],1)</f>
        <v>47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2" t="b">
        <v>1</v>
      </c>
      <c r="C39" t="s">
        <v>5</v>
      </c>
      <c r="D39" s="13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4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23">
        <v>32</v>
      </c>
      <c r="S39" s="15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32.000001062994158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32.000001062994158</v>
      </c>
      <c r="V39">
        <f ca="1">_xlfn.RANK.EQ(Games[[#This Row],[Sort]],Games[Sort],1)</f>
        <v>32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2" t="b">
        <v>1</v>
      </c>
      <c r="C40" t="s">
        <v>7</v>
      </c>
      <c r="D40" s="13">
        <v>5</v>
      </c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4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23">
        <v>13</v>
      </c>
      <c r="S40" s="15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13.000000558848695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13.000000558848695</v>
      </c>
      <c r="V40">
        <f ca="1">_xlfn.RANK.EQ(Games[[#This Row],[Sort]],Games[Sort],1)</f>
        <v>13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2" t="b">
        <v>0</v>
      </c>
      <c r="C41" t="s">
        <v>5</v>
      </c>
      <c r="D41" s="13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4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23">
        <v>20</v>
      </c>
      <c r="S41" s="15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20.000001656977993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20.000001656977993</v>
      </c>
      <c r="V41">
        <f ca="1">_xlfn.RANK.EQ(Games[[#This Row],[Sort]],Games[Sort],1)</f>
        <v>20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2" t="b">
        <v>0</v>
      </c>
      <c r="C42" t="s">
        <v>7</v>
      </c>
      <c r="D42" s="13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4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23">
        <v>4</v>
      </c>
      <c r="S42" s="15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4.0000000153812616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4.0000000153812616</v>
      </c>
      <c r="V42">
        <f ca="1">_xlfn.RANK.EQ(Games[[#This Row],[Sort]],Games[Sort],1)</f>
        <v>4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2" t="b">
        <v>0</v>
      </c>
      <c r="C43" t="s">
        <v>5</v>
      </c>
      <c r="D43" s="13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4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23">
        <v>15</v>
      </c>
      <c r="S43" s="15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15.000001113510558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15.000001113510558</v>
      </c>
      <c r="V43">
        <f ca="1">_xlfn.RANK.EQ(Games[[#This Row],[Sort]],Games[Sort],1)</f>
        <v>15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2" t="b">
        <v>0</v>
      </c>
      <c r="C44" t="s">
        <v>7</v>
      </c>
      <c r="D44" s="13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4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23">
        <v>45</v>
      </c>
      <c r="S44" s="15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45.000000142504327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45.000000142504327</v>
      </c>
      <c r="V44">
        <f ca="1">_xlfn.RANK.EQ(Games[[#This Row],[Sort]],Games[Sort],1)</f>
        <v>45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2" t="b">
        <v>1</v>
      </c>
      <c r="C45" t="s">
        <v>5</v>
      </c>
      <c r="D45" s="13">
        <v>1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4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23">
        <v>62</v>
      </c>
      <c r="S45" s="15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62.000002433844251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62.000002433844251</v>
      </c>
      <c r="V45">
        <f ca="1">_xlfn.RANK.EQ(Games[[#This Row],[Sort]],Games[Sort],1)</f>
        <v>62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2" t="b">
        <v>0</v>
      </c>
      <c r="C46" t="s">
        <v>7</v>
      </c>
      <c r="D46" s="13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4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23">
        <v>33</v>
      </c>
      <c r="S46" s="15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33.000001973450075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33.000001973450075</v>
      </c>
      <c r="V46">
        <f ca="1">_xlfn.RANK.EQ(Games[[#This Row],[Sort]],Games[Sort],1)</f>
        <v>33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2" t="b">
        <v>0</v>
      </c>
      <c r="C47" t="s">
        <v>5</v>
      </c>
      <c r="D47" s="13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4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23">
        <v>63</v>
      </c>
      <c r="S47" s="15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63.000000697166193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63.000000697166193</v>
      </c>
      <c r="V47">
        <f ca="1">_xlfn.RANK.EQ(Games[[#This Row],[Sort]],Games[Sort],1)</f>
        <v>63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2" t="b">
        <v>0</v>
      </c>
      <c r="C48" t="s">
        <v>7</v>
      </c>
      <c r="D48" s="13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4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23">
        <v>34</v>
      </c>
      <c r="S48" s="15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34.000002394735063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34.000002394735063</v>
      </c>
      <c r="V48">
        <f ca="1">_xlfn.RANK.EQ(Games[[#This Row],[Sort]],Games[Sort],1)</f>
        <v>34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2" t="b">
        <v>0</v>
      </c>
      <c r="C49" t="s">
        <v>5</v>
      </c>
      <c r="D49" s="13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4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23">
        <v>5</v>
      </c>
      <c r="S49" s="15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5.0000007531383357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5.0000007531383357</v>
      </c>
      <c r="V49">
        <f ca="1">_xlfn.RANK.EQ(Games[[#This Row],[Sort]],Games[Sort],1)</f>
        <v>5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2" t="b">
        <v>0</v>
      </c>
      <c r="C50" t="s">
        <v>7</v>
      </c>
      <c r="D50" s="13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4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23">
        <v>58</v>
      </c>
      <c r="S50" s="15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58.000000209670901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58.000000209670901</v>
      </c>
      <c r="V50">
        <f ca="1">_xlfn.RANK.EQ(Games[[#This Row],[Sort]],Games[Sort],1)</f>
        <v>58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2" t="b">
        <v>1</v>
      </c>
      <c r="C51" t="s">
        <v>7</v>
      </c>
      <c r="D51" s="13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4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23">
        <v>59</v>
      </c>
      <c r="S51" s="15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59.000001288782983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59.000001288782983</v>
      </c>
      <c r="V51">
        <f ca="1">_xlfn.RANK.EQ(Games[[#This Row],[Sort]],Games[Sort],1)</f>
        <v>59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2" t="b">
        <v>0</v>
      </c>
      <c r="C52" t="s">
        <v>7</v>
      </c>
      <c r="D52" s="13"/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4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23">
        <v>60</v>
      </c>
      <c r="S52" s="15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60.000000484282019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60.000000484282019</v>
      </c>
      <c r="V52">
        <f ca="1">_xlfn.RANK.EQ(Games[[#This Row],[Sort]],Games[Sort],1)</f>
        <v>60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4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23">
        <v>50</v>
      </c>
      <c r="S53" s="15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50.000002484290498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50.000002484290498</v>
      </c>
      <c r="V53">
        <f ca="1">_xlfn.RANK.EQ(Games[[#This Row],[Sort]],Games[Sort],1)</f>
        <v>50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4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23">
        <v>49</v>
      </c>
      <c r="S54" s="15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49.000001643923198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49.000001643923198</v>
      </c>
      <c r="V54">
        <f ca="1">_xlfn.RANK.EQ(Games[[#This Row],[Sort]],Games[Sort],1)</f>
        <v>49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4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23">
        <v>61</v>
      </c>
      <c r="S55" s="15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61.000000839422228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61.000000839422228</v>
      </c>
      <c r="V55">
        <f ca="1">_xlfn.RANK.EQ(Games[[#This Row],[Sort]],Games[Sort],1)</f>
        <v>61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4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23">
        <v>35</v>
      </c>
      <c r="S56" s="15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35.000000898665917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35.000000898665917</v>
      </c>
      <c r="V56">
        <f ca="1">_xlfn.RANK.EQ(Games[[#This Row],[Sort]],Games[Sort],1)</f>
        <v>35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4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23">
        <v>36</v>
      </c>
      <c r="S57" s="15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36.000001996795213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36.000001996795213</v>
      </c>
      <c r="V57">
        <f ca="1">_xlfn.RANK.EQ(Games[[#This Row],[Sort]],Games[Sort],1)</f>
        <v>36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4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23">
        <v>21</v>
      </c>
      <c r="S58" s="15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21.000001118986557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21.000001118986557</v>
      </c>
      <c r="V58">
        <f ca="1">_xlfn.RANK.EQ(Games[[#This Row],[Sort]],Games[Sort],1)</f>
        <v>21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4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23">
        <v>70</v>
      </c>
      <c r="S59" s="15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70.000002618623654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70.000002618623654</v>
      </c>
      <c r="V59">
        <f ca="1">_xlfn.RANK.EQ(Games[[#This Row],[Sort]],Games[Sort],1)</f>
        <v>70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4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23">
        <v>71</v>
      </c>
      <c r="S60" s="15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71.000000977026914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71.000000977026914</v>
      </c>
      <c r="V60">
        <f ca="1">_xlfn.RANK.EQ(Games[[#This Row],[Sort]],Games[Sort],1)</f>
        <v>71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4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23">
        <v>72</v>
      </c>
      <c r="S61" s="15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72.000000600812143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72.000000600812143</v>
      </c>
      <c r="V61">
        <f ca="1">_xlfn.RANK.EQ(Games[[#This Row],[Sort]],Games[Sort],1)</f>
        <v>72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4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23">
        <v>73</v>
      </c>
      <c r="S62" s="15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73.000001531688781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73.000001531688781</v>
      </c>
      <c r="V62">
        <f ca="1">_xlfn.RANK.EQ(Games[[#This Row],[Sort]],Games[Sort],1)</f>
        <v>73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4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23">
        <v>74</v>
      </c>
      <c r="S63" s="15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74.000002629818084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74.000002629818084</v>
      </c>
      <c r="V63">
        <f ca="1">_xlfn.RANK.EQ(Games[[#This Row],[Sort]],Games[Sort],1)</f>
        <v>74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4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23">
        <v>75</v>
      </c>
      <c r="S64" s="15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75.000001157118433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75.000001157118433</v>
      </c>
      <c r="V64">
        <f ca="1">_xlfn.RANK.EQ(Games[[#This Row],[Sort]],Games[Sort],1)</f>
        <v>75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4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23">
        <v>69</v>
      </c>
      <c r="S65" s="15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69.000002708179082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69.000002708179082</v>
      </c>
      <c r="V65">
        <f ca="1">_xlfn.RANK.EQ(Games[[#This Row],[Sort]],Games[Sort],1)</f>
        <v>69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4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23">
        <v>76</v>
      </c>
      <c r="S66" s="15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76.000001066582357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76.000001066582357</v>
      </c>
      <c r="V66">
        <f ca="1">_xlfn.RANK.EQ(Games[[#This Row],[Sort]],Games[Sort],1)</f>
        <v>76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4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23">
        <v>77</v>
      </c>
      <c r="S67" s="15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77.000000024425205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77.000000024425205</v>
      </c>
      <c r="V67">
        <f ca="1">_xlfn.RANK.EQ(Games[[#This Row],[Sort]],Games[Sort],1)</f>
        <v>77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4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23">
        <v>78</v>
      </c>
      <c r="S68" s="15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78.000002281768161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78.000002281768161</v>
      </c>
      <c r="V68">
        <f ca="1">_xlfn.RANK.EQ(Games[[#This Row],[Sort]],Games[Sort],1)</f>
        <v>78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4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23">
        <v>79</v>
      </c>
      <c r="S69" s="15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79.000002220683797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79.000002220683797</v>
      </c>
      <c r="V69">
        <f ca="1">_xlfn.RANK.EQ(Games[[#This Row],[Sort]],Games[Sort],1)</f>
        <v>79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4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23">
        <v>80</v>
      </c>
      <c r="S70" s="15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80.000000271285259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80.000000271285259</v>
      </c>
      <c r="V70">
        <f ca="1">_xlfn.RANK.EQ(Games[[#This Row],[Sort]],Games[Sort],1)</f>
        <v>80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4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23">
        <v>81</v>
      </c>
      <c r="S71" s="15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81.000002206510317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81.000002206510317</v>
      </c>
      <c r="V71">
        <f ca="1">_xlfn.RANK.EQ(Games[[#This Row],[Sort]],Games[Sort],1)</f>
        <v>81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4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23">
        <v>68</v>
      </c>
      <c r="S72" s="15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68.000000035619621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68.000000035619621</v>
      </c>
      <c r="V72">
        <f ca="1">_xlfn.RANK.EQ(Games[[#This Row],[Sort]],Games[Sort],1)</f>
        <v>68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4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23">
        <v>38</v>
      </c>
      <c r="S73" s="15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38.000001133748924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38.000001133748924</v>
      </c>
      <c r="V73">
        <f ca="1">_xlfn.RANK.EQ(Games[[#This Row],[Sort]],Games[Sort],1)</f>
        <v>38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4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23">
        <v>67</v>
      </c>
      <c r="S74" s="15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67.000000340098921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67.000000340098921</v>
      </c>
      <c r="V74">
        <f ca="1">_xlfn.RANK.EQ(Games[[#This Row],[Sort]],Games[Sort],1)</f>
        <v>67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4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23">
        <v>51</v>
      </c>
      <c r="S75" s="15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51.000001755577365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51.000001755577365</v>
      </c>
      <c r="V75">
        <f ca="1">_xlfn.RANK.EQ(Games[[#This Row],[Sort]],Games[Sort],1)</f>
        <v>51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4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23">
        <v>37</v>
      </c>
      <c r="S76" s="15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37.000000626425475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37.000000626425475</v>
      </c>
      <c r="V76">
        <f ca="1">_xlfn.RANK.EQ(Games[[#This Row],[Sort]],Games[Sort],1)</f>
        <v>37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4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23">
        <v>7</v>
      </c>
      <c r="S77" s="15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7.0000025616505361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7.0000025616505361</v>
      </c>
      <c r="V77">
        <f ca="1">_xlfn.RANK.EQ(Games[[#This Row],[Sort]],Games[Sort],1)</f>
        <v>7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4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23">
        <v>52</v>
      </c>
      <c r="S78" s="15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52.000001268082073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52.000001268082073</v>
      </c>
      <c r="V78">
        <f ca="1">_xlfn.RANK.EQ(Games[[#This Row],[Sort]],Games[Sort],1)</f>
        <v>52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4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23">
        <v>1</v>
      </c>
      <c r="S79" s="15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1.0000023662113706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1.0000023662113706</v>
      </c>
      <c r="V79">
        <f ca="1">_xlfn.RANK.EQ(Games[[#This Row],[Sort]],Games[Sort],1)</f>
        <v>1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4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23">
        <v>18</v>
      </c>
      <c r="S80" s="15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18.000001889910511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18.000001889910511</v>
      </c>
      <c r="V80">
        <f ca="1">_xlfn.RANK.EQ(Games[[#This Row],[Sort]],Games[Sort],1)</f>
        <v>18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4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23">
        <v>6</v>
      </c>
      <c r="S81" s="15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6.0000003878153816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6.0000003878153816</v>
      </c>
      <c r="V81">
        <f ca="1">_xlfn.RANK.EQ(Games[[#This Row],[Sort]],Games[Sort],1)</f>
        <v>6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4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24">
        <v>17</v>
      </c>
      <c r="S82" s="15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17.000002006872034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17.000002006872034</v>
      </c>
      <c r="V82">
        <f ca="1">_xlfn.RANK.EQ(Games[[#This Row],[Sort]],Games[Sort],1)</f>
        <v>17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5" priority="5" operator="lessThan">
      <formula>0</formula>
    </cfRule>
  </conditionalFormatting>
  <conditionalFormatting sqref="R2:R82">
    <cfRule type="expression" dxfId="4" priority="3" stopIfTrue="1">
      <formula>#REF!&lt;&gt;""</formula>
    </cfRule>
  </conditionalFormatting>
  <conditionalFormatting sqref="R2:R82">
    <cfRule type="duplicateValues" dxfId="3" priority="1"/>
    <cfRule type="expression" dxfId="2" priority="2" stopIfTrue="1">
      <formula>#REF!&lt;&gt;""</formula>
    </cfRule>
    <cfRule type="duplicateValues" dxfId="1" priority="4"/>
  </conditionalFormatting>
  <dataValidations count="1">
    <dataValidation type="whole" allowBlank="1" showErrorMessage="1" errorTitle="Ranking error" error="Please enter a rank between 1 - 81. _x000a_Thank you." sqref="R2:R82" xr:uid="{FEF37130-D5D5-46CD-A2E1-592EB9922459}">
      <formula1>1</formula1>
      <formula2>81</formula2>
    </dataValidation>
  </dataValidations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3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4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7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8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