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968DB27F-BF94-4576-A7A2-E190F7C19DF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<sst xmlns="http://schemas.openxmlformats.org/spreadsheetml/2006/main" count="230" uniqueCount="66">
  <si>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</si>
  <si>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</si>
  <si>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</si>
  <si>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</si>
  <si>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</si>
  <si>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</si>
  <si>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</si>
  <si>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</si>
  <si>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</si>
  <si>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</si>
  <si>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</si>
  <si>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</si>
  <si>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</si>
  <si>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</si>
  <si>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</si>
  <si>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</si>
  <si>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</si>
  <si>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</si>
  <si>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</si>
  <si>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</si>
  <si>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</si>
  <si>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</si>
  <si>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</si>
  <si>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</si>
  <si>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</si>
  <si>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</si>
  <si>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</si>
  <si>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</si>
  <si>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</si>
  <si>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</si>
  <si>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</si>
  <si>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</si>
  <si>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</si>
  <si>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</si>
  <si>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</si>
  <si>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</si>
  <si>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</si>
  <si>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</si>
  <si>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</si>
  <si>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</si>
  <si>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</si>
  <si>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</si>
  <si>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</si>
  <si>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</si>
  <si>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</si>
  <si>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</si>
  <si>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</si>
  <si>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</si>
  <si>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</si>
  <si>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</si>
  <si>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</si>
  <si>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</si>
  <si>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</si>
  <si>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</si>
  <si>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</si>
  <si>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</si>
  <si>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</si>
  <si>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</si>
  <si>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</si>
  <si>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</si>
  <si>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</si>
  <si>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</si>
  <si>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</si>
  <si>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</si>
  <si>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</si>
  <si>
    <t>Marcus Farbstein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</si>
</sst>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B39" sqref="B39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6.28515625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34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34.000000882587024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34.000000882587024</v>
      </c>
      <c r="V2">
        <f ca="1">_xlfn.RANK.EQ(Games[[#This Row],[Sort]],Games[Sort],1)</f>
        <v>34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1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1.0000016295695984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1.0000016295695984</v>
      </c>
      <c r="V3">
        <f ca="1">_xlfn.RANK.EQ(Games[[#This Row],[Sort]],Games[Sort],1)</f>
        <v>1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33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33.00000170841939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33.00000170841939</v>
      </c>
      <c r="V4">
        <f ca="1">_xlfn.RANK.EQ(Games[[#This Row],[Sort]],Games[Sort],1)</f>
        <v>33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32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32.000000814540471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32.000000814540471</v>
      </c>
      <c r="V5">
        <f ca="1">_xlfn.RANK.EQ(Games[[#This Row],[Sort]],Games[Sort],1)</f>
        <v>32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14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14.000002464126839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14.000002464126839</v>
      </c>
      <c r="V6">
        <f ca="1">_xlfn.RANK.EQ(Games[[#This Row],[Sort]],Games[Sort],1)</f>
        <v>14</v>
      </c>
      <c r="W6" t="str">
        <f>IF(COUNT(Games[QuadRank])&gt;0,_xlfn.RANK.EQ(Games[[#This Row],[QuadSort]],Games[QuadSort],1),"")</f>
        <v/>
      </c>
      <c r="X6" s="5"/>
      <c r="Y6" s="5"/>
      <c r="AA6" t="s">
        <v>65</v>
      </c>
      <c r="AB6">
        <v>12</v>
      </c>
      <c r="AC6">
        <v>0</v>
      </c>
      <c r="AD6">
        <f>Names[[#This Row],[Pairs]]+Names[[#This Row],[Quads]]</f>
        <v>12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31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31.00000184594558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31.00000184594558</v>
      </c>
      <c r="V7">
        <f ca="1">_xlfn.RANK.EQ(Games[[#This Row],[Sort]],Games[Sort],1)</f>
        <v>31</v>
      </c>
      <c r="W7" t="str">
        <f>IF(COUNT(Games[QuadRank])&gt;0,_xlfn.RANK.EQ(Games[[#This Row],[QuadSort]],Games[QuadSort],1),"")</f>
        <v/>
      </c>
      <c r="X7" s="5"/>
      <c r="Y7" s="5"/>
      <c r="AD7">
        <f>Names[[#This Row],[Pairs]]+Names[[#This Row],[Quads]]</f>
        <v>0</v>
      </c>
      <c r="AE7">
        <f>Names[[#This Row],[Pairs]]*2 + Names[[#This Row],[Quads]]*4</f>
        <v>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15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15.000002105956405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15.000002105956405</v>
      </c>
      <c r="V8">
        <f ca="1">_xlfn.RANK.EQ(Games[[#This Row],[Sort]],Games[Sort],1)</f>
        <v>15</v>
      </c>
      <c r="W8" t="str">
        <f>IF(COUNT(Games[QuadRank])&gt;0,_xlfn.RANK.EQ(Games[[#This Row],[QuadSort]],Games[QuadSort],1),"")</f>
        <v/>
      </c>
      <c r="X8" s="5"/>
      <c r="Y8" s="5"/>
      <c r="AD8">
        <f>Names[[#This Row],[Pairs]]+Names[[#This Row],[Quads]]</f>
        <v>0</v>
      </c>
      <c r="AE8">
        <f>Names[[#This Row],[Pairs]]*2 + Names[[#This Row],[Quads]]*4</f>
        <v>0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30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30.000000892749103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30.000000892749103</v>
      </c>
      <c r="V9">
        <f ca="1">_xlfn.RANK.EQ(Games[[#This Row],[Sort]],Games[Sort],1)</f>
        <v>30</v>
      </c>
      <c r="W9" t="str">
        <f>IF(COUNT(Games[QuadRank])&gt;0,_xlfn.RANK.EQ(Games[[#This Row],[QuadSort]],Games[QuadSort],1),"")</f>
        <v/>
      </c>
      <c r="X9" s="5"/>
      <c r="Y9" s="5"/>
      <c r="AD9">
        <f>Names[[#This Row],[Pairs]]+Names[[#This Row],[Quads]]</f>
        <v>0</v>
      </c>
      <c r="AE9">
        <f>Names[[#This Row],[Pairs]]*2 + Names[[#This Row],[Quads]]*4</f>
        <v>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35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35.000000971598894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35.000000971598894</v>
      </c>
      <c r="V10">
        <f ca="1">_xlfn.RANK.EQ(Games[[#This Row],[Sort]],Games[Sort],1)</f>
        <v>35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49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49.000001159585509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49.000001159585509</v>
      </c>
      <c r="V11">
        <f ca="1">_xlfn.RANK.EQ(Games[[#This Row],[Sort]],Games[Sort],1)</f>
        <v>49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29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29.00000006944585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29.00000006944585</v>
      </c>
      <c r="V12">
        <f ca="1">_xlfn.RANK.EQ(Games[[#This Row],[Sort]],Games[Sort],1)</f>
        <v>29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8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8.0000017190322179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8.0000017190322179</v>
      </c>
      <c r="V13">
        <f ca="1">_xlfn.RANK.EQ(Games[[#This Row],[Sort]],Games[Sort],1)</f>
        <v>8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50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50.000001715920092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50.000001715920092</v>
      </c>
      <c r="V14">
        <f ca="1">_xlfn.RANK.EQ(Games[[#This Row],[Sort]],Games[Sort],1)</f>
        <v>50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9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9.0000024510014445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9.0000024510014445</v>
      </c>
      <c r="V15">
        <f ca="1">_xlfn.RANK.EQ(Games[[#This Row],[Sort]],Games[Sort],1)</f>
        <v>9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36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36.000001899563678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36.000001899563678</v>
      </c>
      <c r="V16">
        <f ca="1">_xlfn.RANK.EQ(Games[[#This Row],[Sort]],Games[Sort],1)</f>
        <v>36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51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51.000001978413465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51.000001978413465</v>
      </c>
      <c r="V17">
        <f ca="1">_xlfn.RANK.EQ(Games[[#This Row],[Sort]],Games[Sort],1)</f>
        <v>51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40</v>
      </c>
      <c r="AC17">
        <f>SUBTOTAL(109,Names[Quads])</f>
        <v>8</v>
      </c>
      <c r="AD17">
        <f>SUBTOTAL(109,Names[Games])</f>
        <v>48</v>
      </c>
      <c r="AE17">
        <f>SUBTOTAL(109,Names[Tickets])</f>
        <v>112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37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37.00000083016883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37.00000083016883</v>
      </c>
      <c r="V18">
        <f ca="1">_xlfn.RANK.EQ(Games[[#This Row],[Sort]],Games[Sort],1)</f>
        <v>37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106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10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10.000002479755198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10.000002479755198</v>
      </c>
      <c r="V19">
        <f ca="1">_xlfn.RANK.EQ(Games[[#This Row],[Sort]],Games[Sort],1)</f>
        <v>10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73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52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52.000002722734671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52.000002722734671</v>
      </c>
      <c r="V20">
        <f ca="1">_xlfn.RANK.EQ(Games[[#This Row],[Sort]],Games[Sort],1)</f>
        <v>52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7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7.0000004719983977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7.0000004719983977</v>
      </c>
      <c r="V21">
        <f ca="1">_xlfn.RANK.EQ(Games[[#This Row],[Sort]],Games[Sort],1)</f>
        <v>7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11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11.000000166652224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11.000000166652224</v>
      </c>
      <c r="V22">
        <f ca="1">_xlfn.RANK.EQ(Games[[#This Row],[Sort]],Games[Sort],1)</f>
        <v>11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62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62.000000245502015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62.000000245502015</v>
      </c>
      <c r="V23">
        <f ca="1">_xlfn.RANK.EQ(Games[[#This Row],[Sort]],Games[Sort],1)</f>
        <v>62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61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61.00000226535353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61.00000226535353</v>
      </c>
      <c r="V24">
        <f ca="1">_xlfn.RANK.EQ(Games[[#This Row],[Sort]],Games[Sort],1)</f>
        <v>61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60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60.000001175213875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60.000001175213875</v>
      </c>
      <c r="V25">
        <f ca="1">_xlfn.RANK.EQ(Games[[#This Row],[Sort]],Games[Sort],1)</f>
        <v>60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59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59.000000085074213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59.000000085074213</v>
      </c>
      <c r="V26">
        <f ca="1">_xlfn.RANK.EQ(Games[[#This Row],[Sort]],Games[Sort],1)</f>
        <v>59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58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58.000000188099463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58.000000188099463</v>
      </c>
      <c r="V27">
        <f ca="1">_xlfn.RANK.EQ(Games[[#This Row],[Sort]],Games[Sort],1)</f>
        <v>58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2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2.0000008170434378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2.0000008170434378</v>
      </c>
      <c r="V28">
        <f ca="1">_xlfn.RANK.EQ(Games[[#This Row],[Sort]],Games[Sort],1)</f>
        <v>2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38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38.000002169557753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38.000002169557753</v>
      </c>
      <c r="V29">
        <f ca="1">_xlfn.RANK.EQ(Games[[#This Row],[Sort]],Games[Sort],1)</f>
        <v>38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48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48.000002248407547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48.000002248407547</v>
      </c>
      <c r="V30">
        <f ca="1">_xlfn.RANK.EQ(Games[[#This Row],[Sort]],Games[Sort],1)</f>
        <v>48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12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12.000000286350485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12.000000286350485</v>
      </c>
      <c r="V31">
        <f ca="1">_xlfn.RANK.EQ(Games[[#This Row],[Sort]],Games[Sort],1)</f>
        <v>12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13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13.000001935936851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13.000001935936851</v>
      </c>
      <c r="V32">
        <f ca="1">_xlfn.RANK.EQ(Games[[#This Row],[Sort]],Games[Sort],1)</f>
        <v>13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53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53.000000447931463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53.000000447931463</v>
      </c>
      <c r="V33">
        <f ca="1">_xlfn.RANK.EQ(Games[[#This Row],[Sort]],Games[Sort],1)</f>
        <v>53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63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63.000001577766419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63.000001577766419</v>
      </c>
      <c r="V34">
        <f ca="1">_xlfn.RANK.EQ(Games[[#This Row],[Sort]],Games[Sort],1)</f>
        <v>63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64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64.000000436646303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64.000000436646303</v>
      </c>
      <c r="V35">
        <f ca="1">_xlfn.RANK.EQ(Games[[#This Row],[Sort]],Games[Sort],1)</f>
        <v>64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65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65.000000515496097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65.000000515496097</v>
      </c>
      <c r="V36">
        <f ca="1">_xlfn.RANK.EQ(Games[[#This Row],[Sort]],Games[Sort],1)</f>
        <v>65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66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66.000001047073468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66.000001047073468</v>
      </c>
      <c r="V37">
        <f ca="1">_xlfn.RANK.EQ(Games[[#This Row],[Sort]],Games[Sort],1)</f>
        <v>66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67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67.000002696659834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67.000002696659834</v>
      </c>
      <c r="V38">
        <f ca="1">_xlfn.RANK.EQ(Games[[#This Row],[Sort]],Games[Sort],1)</f>
        <v>67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68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68.000002450837002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68.000002450837002</v>
      </c>
      <c r="V39">
        <f ca="1">_xlfn.RANK.EQ(Games[[#This Row],[Sort]],Games[Sort],1)</f>
        <v>68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69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69.000001219595987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69.000001219595987</v>
      </c>
      <c r="V40">
        <f ca="1">_xlfn.RANK.EQ(Games[[#This Row],[Sort]],Games[Sort],1)</f>
        <v>69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70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70.000000129456325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70.000000129456325</v>
      </c>
      <c r="V41">
        <f ca="1">_xlfn.RANK.EQ(Games[[#This Row],[Sort]],Games[Sort],1)</f>
        <v>70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71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71.000001779042691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71.000001779042691</v>
      </c>
      <c r="V42">
        <f ca="1">_xlfn.RANK.EQ(Games[[#This Row],[Sort]],Games[Sort],1)</f>
        <v>71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72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72.000000688903029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72.000000688903029</v>
      </c>
      <c r="V43">
        <f ca="1">_xlfn.RANK.EQ(Games[[#This Row],[Sort]],Games[Sort],1)</f>
        <v>72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73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73.000002492270028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73.000002492270028</v>
      </c>
      <c r="V44">
        <f ca="1">_xlfn.RANK.EQ(Games[[#This Row],[Sort]],Games[Sort],1)</f>
        <v>73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74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74.000002580307637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74.000002580307637</v>
      </c>
      <c r="V45">
        <f ca="1">_xlfn.RANK.EQ(Games[[#This Row],[Sort]],Games[Sort],1)</f>
        <v>74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75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75.000001148189639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75.000001148189639</v>
      </c>
      <c r="V46">
        <f ca="1">_xlfn.RANK.EQ(Games[[#This Row],[Sort]],Games[Sort],1)</f>
        <v>75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76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76.00000196157707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76.00000196157707</v>
      </c>
      <c r="V47">
        <f ca="1">_xlfn.RANK.EQ(Games[[#This Row],[Sort]],Games[Sort],1)</f>
        <v>76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77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77.000000455759476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77.000000455759476</v>
      </c>
      <c r="V48">
        <f ca="1">_xlfn.RANK.EQ(Games[[#This Row],[Sort]],Games[Sort],1)</f>
        <v>77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78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78.000002105345843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78.000002105345843</v>
      </c>
      <c r="V49">
        <f ca="1">_xlfn.RANK.EQ(Games[[#This Row],[Sort]],Games[Sort],1)</f>
        <v>78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79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79.000002664792547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79.000002664792547</v>
      </c>
      <c r="V50">
        <f ca="1">_xlfn.RANK.EQ(Games[[#This Row],[Sort]],Games[Sort],1)</f>
        <v>79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80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80.000000700929604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80.000000700929604</v>
      </c>
      <c r="V51">
        <f ca="1">_xlfn.RANK.EQ(Games[[#This Row],[Sort]],Games[Sort],1)</f>
        <v>80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0</v>
      </c>
      <c r="C52" t="s">
        <v>7</v>
      </c>
      <c r="D52" s="14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81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81.000000779779384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81.000000779779384</v>
      </c>
      <c r="V52">
        <f ca="1">_xlfn.RANK.EQ(Games[[#This Row],[Sort]],Games[Sort],1)</f>
        <v>81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16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16.000000685789502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16.000000685789502</v>
      </c>
      <c r="V53">
        <f ca="1">_xlfn.RANK.EQ(Games[[#This Row],[Sort]],Games[Sort],1)</f>
        <v>16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39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39.000001707744175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39.000001707744175</v>
      </c>
      <c r="V54">
        <f ca="1">_xlfn.RANK.EQ(Games[[#This Row],[Sort]],Games[Sort],1)</f>
        <v>39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47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47.000001786593963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47.000001786593963</v>
      </c>
      <c r="V55">
        <f ca="1">_xlfn.RANK.EQ(Games[[#This Row],[Sort]],Games[Sort],1)</f>
        <v>47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3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3.0000024791446336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3.0000024791446336</v>
      </c>
      <c r="V56">
        <f ca="1">_xlfn.RANK.EQ(Games[[#This Row],[Sort]],Games[Sort],1)</f>
        <v>3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4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4.0000013890049733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4.0000013890049733</v>
      </c>
      <c r="V57">
        <f ca="1">_xlfn.RANK.EQ(Games[[#This Row],[Sort]],Games[Sort],1)</f>
        <v>4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54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54.000000982208839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54.000000982208839</v>
      </c>
      <c r="V58">
        <f ca="1">_xlfn.RANK.EQ(Games[[#This Row],[Sort]],Games[Sort],1)</f>
        <v>54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5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5.0000010308345395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5.0000010308345395</v>
      </c>
      <c r="V59">
        <f ca="1">_xlfn.RANK.EQ(Games[[#This Row],[Sort]],Games[Sort],1)</f>
        <v>5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6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6.0000026804209066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6.0000026804209066</v>
      </c>
      <c r="V60">
        <f ca="1">_xlfn.RANK.EQ(Games[[#This Row],[Sort]],Games[Sort],1)</f>
        <v>6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46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46.000001049773466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46.000001049773466</v>
      </c>
      <c r="V61">
        <f ca="1">_xlfn.RANK.EQ(Games[[#This Row],[Sort]],Games[Sort],1)</f>
        <v>46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17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17.000002149727955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17.000002149727955</v>
      </c>
      <c r="V62">
        <f ca="1">_xlfn.RANK.EQ(Games[[#This Row],[Sort]],Games[Sort],1)</f>
        <v>17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18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18.000001059588293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18.000001059588293</v>
      </c>
      <c r="V63">
        <f ca="1">_xlfn.RANK.EQ(Games[[#This Row],[Sort]],Games[Sort],1)</f>
        <v>18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40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40.000002736005989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40.000002736005989</v>
      </c>
      <c r="V64">
        <f ca="1">_xlfn.RANK.EQ(Games[[#This Row],[Sort]],Games[Sort],1)</f>
        <v>40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21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21.000001260864565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21.000001260864565</v>
      </c>
      <c r="V65">
        <f ca="1">_xlfn.RANK.EQ(Games[[#This Row],[Sort]],Games[Sort],1)</f>
        <v>21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19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19.000000170724906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19.000000170724906</v>
      </c>
      <c r="V66">
        <f ca="1">_xlfn.RANK.EQ(Games[[#This Row],[Sort]],Games[Sort],1)</f>
        <v>19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20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20.000001404633334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20.000001404633334</v>
      </c>
      <c r="V67">
        <f ca="1">_xlfn.RANK.EQ(Games[[#This Row],[Sort]],Games[Sort],1)</f>
        <v>20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55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55.000001057274176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55.000001057274176</v>
      </c>
      <c r="V68">
        <f ca="1">_xlfn.RANK.EQ(Games[[#This Row],[Sort]],Games[Sort],1)</f>
        <v>55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22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22.000001964080038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22.000001964080038</v>
      </c>
      <c r="V69">
        <f ca="1">_xlfn.RANK.EQ(Games[[#This Row],[Sort]],Games[Sort],1)</f>
        <v>22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41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41.000001609328002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41.000001609328002</v>
      </c>
      <c r="V70">
        <f ca="1">_xlfn.RANK.EQ(Games[[#This Row],[Sort]],Games[Sort],1)</f>
        <v>41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45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45.000001688177797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45.000001688177797</v>
      </c>
      <c r="V71">
        <f ca="1">_xlfn.RANK.EQ(Games[[#This Row],[Sort]],Games[Sort],1)</f>
        <v>45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23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23.000001433387087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23.000001433387087</v>
      </c>
      <c r="V72">
        <f ca="1">_xlfn.RANK.EQ(Games[[#This Row],[Sort]],Games[Sort],1)</f>
        <v>23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24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24.000000343247425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24.000000343247425</v>
      </c>
      <c r="V73">
        <f ca="1">_xlfn.RANK.EQ(Games[[#This Row],[Sort]],Games[Sort],1)</f>
        <v>24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56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56.00000262742774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56.00000262742774</v>
      </c>
      <c r="V74">
        <f ca="1">_xlfn.RANK.EQ(Games[[#This Row],[Sort]],Games[Sort],1)</f>
        <v>56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25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25.000002724803021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25.000002724803021</v>
      </c>
      <c r="V75">
        <f ca="1">_xlfn.RANK.EQ(Games[[#This Row],[Sort]],Games[Sort],1)</f>
        <v>25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42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42.000002616142581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42.000002616142581</v>
      </c>
      <c r="V76">
        <f ca="1">_xlfn.RANK.EQ(Games[[#This Row],[Sort]],Games[Sort],1)</f>
        <v>42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57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57.000002694992375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57.000002694992375</v>
      </c>
      <c r="V77">
        <f ca="1">_xlfn.RANK.EQ(Games[[#This Row],[Sort]],Games[Sort],1)</f>
        <v>57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26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26.000000688292467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26.000000688292467</v>
      </c>
      <c r="V78">
        <f ca="1">_xlfn.RANK.EQ(Games[[#This Row],[Sort]],Games[Sort],1)</f>
        <v>26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27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27.000002337878833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27.000002337878833</v>
      </c>
      <c r="V79">
        <f ca="1">_xlfn.RANK.EQ(Games[[#This Row],[Sort]],Games[Sort],1)</f>
        <v>27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28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28.000000330122031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28.000000330122031</v>
      </c>
      <c r="V80">
        <f ca="1">_xlfn.RANK.EQ(Games[[#This Row],[Sort]],Games[Sort],1)</f>
        <v>28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43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43.000001879322085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43.000001879322085</v>
      </c>
      <c r="V81">
        <f ca="1">_xlfn.RANK.EQ(Games[[#This Row],[Sort]],Games[Sort],1)</f>
        <v>43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44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44.00000055155531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44.00000055155531</v>
      </c>
      <c r="V82">
        <f ca="1">_xlfn.RANK.EQ(Games[[#This Row],[Sort]],Games[Sort],1)</f>
        <v>44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4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5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8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