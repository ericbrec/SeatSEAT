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Nationals 2026\"/>
    </mc:Choice>
  </mc:AlternateContent>
  <xr:revisionPtr revIDLastSave="0" documentId="13_ncr:1_{DDFCA06E-8855-4FB6-BAEF-AF8CBA0585A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3" i="1" a="1"/>
  <c r="U4" i="1" a="1"/>
  <c r="U5" i="1" a="1"/>
  <c r="U6" i="1" a="1"/>
  <c r="U7" i="1" a="1"/>
  <c r="U8" i="1" a="1"/>
  <c r="U9" i="1" a="1"/>
  <c r="U10" i="1" a="1"/>
  <c r="U11" i="1" a="1"/>
  <c r="U12" i="1" a="1"/>
  <c r="U13" i="1" a="1"/>
  <c r="U14" i="1" a="1"/>
  <c r="U15" i="1" a="1"/>
  <c r="U16" i="1" a="1"/>
  <c r="U17" i="1" a="1"/>
  <c r="U18" i="1" a="1"/>
  <c r="U19" i="1" a="1"/>
  <c r="U20" i="1" a="1"/>
  <c r="U21" i="1" a="1"/>
  <c r="U22" i="1" a="1"/>
  <c r="U23" i="1" a="1"/>
  <c r="U24" i="1" a="1"/>
  <c r="U25" i="1" a="1"/>
  <c r="U26" i="1" a="1"/>
  <c r="U27" i="1" a="1"/>
  <c r="U28" i="1" a="1"/>
  <c r="U29" i="1" a="1"/>
  <c r="U30" i="1" a="1"/>
  <c r="U31" i="1" a="1"/>
  <c r="U32" i="1" a="1"/>
  <c r="U33" i="1" a="1"/>
  <c r="U34" i="1" a="1"/>
  <c r="U35" i="1" a="1"/>
  <c r="U36" i="1" a="1"/>
  <c r="U37" i="1" a="1"/>
  <c r="U38" i="1" a="1"/>
  <c r="U39" i="1" a="1"/>
  <c r="U40" i="1" a="1"/>
  <c r="U41" i="1" a="1"/>
  <c r="U42" i="1" a="1"/>
  <c r="U43" i="1" a="1"/>
  <c r="U44" i="1" a="1"/>
  <c r="U45" i="1" a="1"/>
  <c r="U46" i="1" a="1"/>
  <c r="U47" i="1" a="1"/>
  <c r="U48" i="1" a="1"/>
  <c r="U49" i="1" a="1"/>
  <c r="U50" i="1" a="1"/>
  <c r="U51" i="1" a="1"/>
  <c r="U52" i="1" a="1"/>
  <c r="U53" i="1" a="1"/>
  <c r="U54" i="1" a="1"/>
  <c r="U55" i="1" a="1"/>
  <c r="U56" i="1" a="1"/>
  <c r="U57" i="1" a="1"/>
  <c r="U58" i="1" a="1"/>
  <c r="U59" i="1" a="1"/>
  <c r="U60" i="1" a="1"/>
  <c r="U61" i="1" a="1"/>
  <c r="U62" i="1" a="1"/>
  <c r="U63" i="1" a="1"/>
  <c r="U64" i="1" a="1"/>
  <c r="U65" i="1" a="1"/>
  <c r="U66" i="1" a="1"/>
  <c r="U67" i="1" a="1"/>
  <c r="U68" i="1" a="1"/>
  <c r="U69" i="1" a="1"/>
  <c r="U70" i="1" a="1"/>
  <c r="U71" i="1" a="1"/>
  <c r="U72" i="1" a="1"/>
  <c r="U73" i="1" a="1"/>
  <c r="U74" i="1" a="1"/>
  <c r="U75" i="1" a="1"/>
  <c r="U76" i="1" a="1"/>
  <c r="U77" i="1" a="1"/>
  <c r="U78" i="1" a="1"/>
  <c r="U79" i="1" a="1"/>
  <c r="U80" i="1" a="1"/>
  <c r="U81" i="1" a="1"/>
  <c r="U82" i="1" a="1"/>
  <c r="T2" i="1" a="1"/>
  <c r="T3" i="1" a="1"/>
  <c r="T4" i="1" a="1"/>
  <c r="T5" i="1" a="1"/>
  <c r="T6" i="1" a="1"/>
  <c r="T7" i="1" a="1"/>
  <c r="T8" i="1" a="1"/>
  <c r="T9" i="1" a="1"/>
  <c r="T10" i="1" a="1"/>
  <c r="T11" i="1" a="1"/>
  <c r="T12" i="1" a="1"/>
  <c r="T13" i="1" a="1"/>
  <c r="T14" i="1" a="1"/>
  <c r="T15" i="1" a="1"/>
  <c r="T16" i="1" a="1"/>
  <c r="T17" i="1" a="1"/>
  <c r="T18" i="1" a="1"/>
  <c r="T19" i="1" a="1"/>
  <c r="T20" i="1" a="1"/>
  <c r="T21" i="1" a="1"/>
  <c r="T22" i="1" a="1"/>
  <c r="T23" i="1" a="1"/>
  <c r="T24" i="1" a="1"/>
  <c r="T25" i="1" a="1"/>
  <c r="T26" i="1" a="1"/>
  <c r="T27" i="1" a="1"/>
  <c r="T28" i="1" a="1"/>
  <c r="T29" i="1" a="1"/>
  <c r="T30" i="1" a="1"/>
  <c r="T31" i="1" a="1"/>
  <c r="T32" i="1" a="1"/>
  <c r="T33" i="1" a="1"/>
  <c r="T34" i="1" a="1"/>
  <c r="T35" i="1" a="1"/>
  <c r="T36" i="1" a="1"/>
  <c r="T37" i="1" a="1"/>
  <c r="T38" i="1" a="1"/>
  <c r="T39" i="1" a="1"/>
  <c r="T40" i="1" a="1"/>
  <c r="T41" i="1" a="1"/>
  <c r="T42" i="1" a="1"/>
  <c r="T43" i="1" a="1"/>
  <c r="T44" i="1" a="1"/>
  <c r="T45" i="1" a="1"/>
  <c r="T46" i="1" a="1"/>
  <c r="T47" i="1" a="1"/>
  <c r="T48" i="1" a="1"/>
  <c r="T49" i="1" a="1"/>
  <c r="T50" i="1" a="1"/>
  <c r="T51" i="1" a="1"/>
  <c r="T52" i="1" a="1"/>
  <c r="T53" i="1" a="1"/>
  <c r="T54" i="1" a="1"/>
  <c r="T55" i="1" a="1"/>
  <c r="T56" i="1" a="1"/>
  <c r="T57" i="1" a="1"/>
  <c r="T58" i="1" a="1"/>
  <c r="T59" i="1" a="1"/>
  <c r="T60" i="1" a="1"/>
  <c r="T61" i="1" a="1"/>
  <c r="T62" i="1" a="1"/>
  <c r="T63" i="1" a="1"/>
  <c r="T64" i="1" a="1"/>
  <c r="T65" i="1" a="1"/>
  <c r="T66" i="1" a="1"/>
  <c r="T67" i="1" a="1"/>
  <c r="T68" i="1" a="1"/>
  <c r="T69" i="1" a="1"/>
  <c r="T70" i="1" a="1"/>
  <c r="T71" i="1" a="1"/>
  <c r="T72" i="1" a="1"/>
  <c r="T73" i="1" a="1"/>
  <c r="T74" i="1" a="1"/>
  <c r="T75" i="1" a="1"/>
  <c r="T76" i="1" a="1"/>
  <c r="T77" i="1" a="1"/>
  <c r="T78" i="1" a="1"/>
  <c r="T79" i="1" a="1"/>
  <c r="T80" i="1" a="1"/>
  <c r="T81" i="1" a="1"/>
  <c r="T82" i="1" a="1"/>
  <c r="J82" i="1" l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24" i="1"/>
  <c r="AD2" i="1"/>
  <c r="AE2" i="1"/>
  <c r="AD3" i="1"/>
  <c r="AE3" i="1"/>
  <c r="AD25" i="1" l="1"/>
  <c r="AE24" i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AE25" i="1" l="1"/>
  <c r="AF24" i="1"/>
  <c r="AF25" i="1" s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<sst xmlns="http://schemas.openxmlformats.org/spreadsheetml/2006/main" count="235" uniqueCount="71">
  <si>
    <t>Date</t>
  </si>
  <si>
    <t>Time</t>
  </si>
  <si>
    <t>Day</t>
  </si>
  <si>
    <t>Rank</t>
  </si>
  <si>
    <t>Opponent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</si>
  <si>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</si>
  <si>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</si>
  <si>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</si>
  <si>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</si>
  <si>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</si>
  <si>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</si>
  <si>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</si>
  <si>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</si>
  <si>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</si>
  <si>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</si>
  <si>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A</t>
  </si>
  <si>
    <t>Random</t>
  </si>
  <si>
    <t>Prefer later dates</t>
  </si>
  <si>
    <t>Sort</t>
  </si>
  <si>
    <t>Pairs</t>
  </si>
  <si>
    <t>Quads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</si>
  <si>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</si>
  <si>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</si>
  <si>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</si>
  <si>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</si>
  <si>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</si>
  <si>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</si>
  <si>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</si>
  <si>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</si>
  <si>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</si>
  <si>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</si>
  <si>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</si>
  <si>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</si>
  <si>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</si>
  <si>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</si>
  <si>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</si>
  <si>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</si>
  <si>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</si>
  <si>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</si>
  <si>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Dodgers</t>
  </si>
  <si>
    <t>Cardinals</t>
  </si>
  <si>
    <t>Giants</t>
  </si>
  <si>
    <t>Braves</t>
  </si>
  <si>
    <t>Brewers</t>
  </si>
  <si>
    <t>Twins</t>
  </si>
  <si>
    <t>Orioles</t>
  </si>
  <si>
    <t>Mets</t>
  </si>
  <si>
    <t>Padres</t>
  </si>
  <si>
    <t>Marlins</t>
  </si>
  <si>
    <t>Mariners</t>
  </si>
  <si>
    <t>Royals</t>
  </si>
  <si>
    <t>Phillies</t>
  </si>
  <si>
    <t>Pirates</t>
  </si>
  <si>
    <t>Astros</t>
  </si>
  <si>
    <t>Yankees</t>
  </si>
  <si>
    <t>D-backs</t>
  </si>
  <si>
    <t>Blue Jays</t>
  </si>
  <si>
    <t>Reds</t>
  </si>
  <si>
    <t>Cubs</t>
  </si>
  <si>
    <t>Rockies</t>
  </si>
  <si>
    <t>Angels</t>
  </si>
  <si>
    <t>Bob Lowry</t>
  </si>
  <si>
    <t>Bruce McDonald</t>
  </si>
  <si>
    <t>Bridgette Reilly</t>
  </si>
  <si>
    <t>David Dorris</t>
  </si>
  <si>
    <t>Marcus Farbstein</t>
  </si>
  <si>
    <t>Nicoletta Saffelle</t>
  </si>
  <si>
    <t>Phil Goldman</t>
  </si>
  <si>
    <t>Rick Calder</t>
  </si>
  <si>
    <t>Sue Andres</t>
  </si>
  <si>
    <t>Scott Ableman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</si>
</sst>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2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7" dataDxfId="26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5">
      <calculatedColumnFormula>TEXT(Games[[#This Row],[Date]], "ddd")</calculatedColumnFormula>
    </tableColumn>
    <tableColumn id="2" xr3:uid="{00000000-0010-0000-0000-000002000000}" name="Date" dataDxfId="24"/>
    <tableColumn id="5" xr3:uid="{00000000-0010-0000-0000-000005000000}" name="Time" dataDxfId="23"/>
    <tableColumn id="4" xr3:uid="{00000000-0010-0000-0000-000004000000}" name="Opponent" dataDxfId="22"/>
    <tableColumn id="7" xr3:uid="{9E8F088B-1EA6-44CA-B818-1F7D43F5D5E7}" name="Type" dataCellStyle="Normal"/>
    <tableColumn id="8" xr3:uid="{AA6D2002-4C78-4093-9793-A575FAC0F72F}" name="Price" dataDxfId="21" dataCellStyle="Currency">
      <calculatedColumnFormula>_xlfn.XLOOKUP(Games[[#This Row],[Type]],Types[Type],Types[Price])</calculatedColumnFormula>
    </tableColumn>
    <tableColumn id="21" xr3:uid="{6605C5A5-6B7D-4186-8D6F-A61D7DFDD8D4}" name="GamePairs" dataDxfId="20">
      <calculatedColumnFormula>_xlfn.XLOOKUP(Games[[#This Row],[Type]],Types[Type],Types[Pairs])</calculatedColumnFormula>
    </tableColumn>
    <tableColumn id="15" xr3:uid="{9471ECAA-F4C1-478C-B117-15D31D83B2FA}" name="Seats" dataDxfId="19">
      <calculatedColumnFormula>TEXT(Games[[#This Row],[Price]],"$#,##0.00")&amp;" ("&amp;Games[[#This Row],[GamePairs]]*2&amp;")"</calculatedColumnFormula>
    </tableColumn>
    <tableColumn id="6" xr3:uid="{00000000-0010-0000-0000-000006000000}" name="Rank" dataDxfId="18"/>
    <tableColumn id="10" xr3:uid="{00000000-0010-0000-0000-00000A000000}" name="QuadRank" dataDxfId="17" dataCellStyle="Normal 2"/>
    <tableColumn id="13" xr3:uid="{10011C92-A32E-4605-8584-BDBE5EABC83A}" name="Sort" dataDxfId="16">
      <calculatedColumnFormula array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5">
      <calculatedColumnFormula array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4">
      <calculatedColumnFormula>_xlfn.RANK.EQ(Games[[#This Row],[Sort]],Games[Sort],1)</calculatedColumnFormula>
    </tableColumn>
    <tableColumn id="9" xr3:uid="{FE7F021A-A7DE-4DDD-9CB4-33114D9B6A5E}" name="QuadPick" dataDxfId="13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2"/>
    <tableColumn id="14" xr3:uid="{02873305-C254-48E4-9E8D-324FD18F7B69}" name="Comments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5" totalsRowCount="1" headerRowCellStyle="Normal">
  <autoFilter ref="AA23:AF24" xr:uid="{C8A00DCA-5FDD-46AE-98FE-ADCF435506EB}"/>
  <tableColumns count="6">
    <tableColumn id="1" xr3:uid="{D0C1F639-6CA2-4EE2-B48E-9CAE9BBAB740}" name="Type" totalsRowLabel="Total" dataDxfId="10" totalsRowDxfId="9"/>
    <tableColumn id="2" xr3:uid="{D785142C-C4FC-418F-A0C8-7745E2B467E4}" name="Price" dataDxfId="8" dataCellStyle="Currency"/>
    <tableColumn id="3" xr3:uid="{F14FCFFA-E6B3-465B-BEC9-D1AFB23F6C0D}" name="Pairs"/>
    <tableColumn id="4" xr3:uid="{77C90207-35F5-4AB4-B4C2-39C4FABA9268}" name="Games" totalsRowFunction="sum" dataDxfId="7">
      <calculatedColumnFormula>COUNTIF(Games[Type],Types[[#This Row],[Type]])</calculatedColumnFormula>
    </tableColumn>
    <tableColumn id="5" xr3:uid="{B143CB75-DF50-4323-85C5-10526A2643E2}" name="Tickets" totalsRowFunction="sum" dataDxfId="6">
      <calculatedColumnFormula>Types[[#This Row],[Games]]*Types[[#This Row],[Pairs]]*2</calculatedColumnFormula>
    </tableColumn>
    <tableColumn id="6" xr3:uid="{1050CF1C-249D-4CE7-A143-304C5582C5BA}" name="Cost" totalsRowFunction="sum" dataDxfId="5" totalsRow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R2" sqref="R2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8" customWidth="1"/>
    <col min="20" max="21" width="13.42578125" hidden="1" customWidth="1"/>
    <col min="22" max="22" width="8.28515625" bestFit="1" customWidth="1"/>
    <col min="23" max="23" width="7.28515625" customWidth="1"/>
    <col min="24" max="24" width="16.42578125" bestFit="1" customWidth="1"/>
    <col min="25" max="25" width="22.7109375" customWidth="1"/>
    <col min="26" max="26" width="3" customWidth="1"/>
    <col min="27" max="27" width="16.28515625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7" t="s">
        <v>2</v>
      </c>
      <c r="K1" s="18" t="s">
        <v>0</v>
      </c>
      <c r="L1" s="19" t="s">
        <v>1</v>
      </c>
      <c r="M1" s="17" t="s">
        <v>4</v>
      </c>
      <c r="N1" s="19" t="s">
        <v>26</v>
      </c>
      <c r="O1" s="19" t="s">
        <v>28</v>
      </c>
      <c r="P1" s="19" t="s">
        <v>35</v>
      </c>
      <c r="Q1" s="19" t="s">
        <v>36</v>
      </c>
      <c r="R1" s="20" t="s">
        <v>3</v>
      </c>
      <c r="S1" s="20" t="s">
        <v>27</v>
      </c>
      <c r="T1" s="19" t="s">
        <v>18</v>
      </c>
      <c r="U1" s="19" t="s">
        <v>34</v>
      </c>
      <c r="V1" s="19" t="s">
        <v>29</v>
      </c>
      <c r="W1" s="19" t="s">
        <v>30</v>
      </c>
      <c r="X1" s="17" t="s">
        <v>32</v>
      </c>
      <c r="Y1" s="17" t="s">
        <v>33</v>
      </c>
      <c r="AA1" s="17" t="s">
        <v>31</v>
      </c>
      <c r="AB1" s="17" t="s">
        <v>19</v>
      </c>
      <c r="AC1" s="17" t="s">
        <v>20</v>
      </c>
      <c r="AD1" s="17" t="s">
        <v>22</v>
      </c>
      <c r="AE1" s="17" t="s">
        <v>23</v>
      </c>
    </row>
    <row r="2" spans="1:31" x14ac:dyDescent="0.2">
      <c r="J2" s="7" t="str">
        <f>TEXT(Games[[#This Row],[Date]], "ddd")</f>
        <v>Fri</v>
      </c>
      <c r="K2" s="11">
        <v>46115</v>
      </c>
      <c r="L2" s="10">
        <v>0.54513888888888895</v>
      </c>
      <c r="M2" t="s">
        <v>39</v>
      </c>
      <c r="N2" t="s">
        <v>15</v>
      </c>
      <c r="O2" s="15">
        <f>_xlfn.XLOOKUP(Games[[#This Row],[Type]],Types[Type],Types[Price])</f>
        <v>75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$75.00 (4)</v>
      </c>
      <c r="R2" s="12"/>
      <c r="S2" s="16"/>
      <c r="T2" cm="1">
        <f t="array" aca="1" ref="T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1.0000004142448606</v>
      </c>
      <c r="U2" cm="1">
        <f t="array" aca="1" ref="U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1.0000004142448606</v>
      </c>
      <c r="V2">
        <f ca="1">_xlfn.RANK.EQ(Games[[#This Row],[Sort]],Games[Sort],1)</f>
        <v>11</v>
      </c>
      <c r="W2" t="str">
        <f>IF(COUNT(Games[QuadRank])&gt;0,_xlfn.RANK.EQ(Games[[#This Row],[QuadSort]],Games[QuadSort],1),"")</f>
        <v/>
      </c>
      <c r="X2" s="5"/>
      <c r="Y2" s="5"/>
      <c r="AA2" s="21" t="s">
        <v>61</v>
      </c>
      <c r="AB2" s="22">
        <v>10</v>
      </c>
      <c r="AC2" s="22">
        <v>0</v>
      </c>
      <c r="AD2">
        <f>Names[[#This Row],[Pairs]]+Names[[#This Row],[Quads]]</f>
        <v>10</v>
      </c>
      <c r="AE2">
        <f>Names[[#This Row],[Pairs]]*2 + Names[[#This Row],[Quads]]*4</f>
        <v>20</v>
      </c>
    </row>
    <row r="3" spans="1:31" x14ac:dyDescent="0.2">
      <c r="J3" s="7" t="str">
        <f>TEXT(Games[[#This Row],[Date]], "ddd")</f>
        <v>Sat</v>
      </c>
      <c r="K3" s="11">
        <v>46116</v>
      </c>
      <c r="L3" s="10">
        <v>0.67013888888888884</v>
      </c>
      <c r="M3" t="s">
        <v>39</v>
      </c>
      <c r="N3" t="s">
        <v>15</v>
      </c>
      <c r="O3" s="15">
        <f>_xlfn.XLOOKUP(Games[[#This Row],[Type]],Types[Type],Types[Price])</f>
        <v>75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$75.00 (4)</v>
      </c>
      <c r="R3" s="12"/>
      <c r="S3" s="16"/>
      <c r="T3" cm="1">
        <f t="array" aca="1" ref="T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1.0000023141445662</v>
      </c>
      <c r="U3" cm="1">
        <f t="array" aca="1" ref="U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1.0000023141445662</v>
      </c>
      <c r="V3">
        <f ca="1">_xlfn.RANK.EQ(Games[[#This Row],[Sort]],Games[Sort],1)</f>
        <v>61</v>
      </c>
      <c r="W3" t="str">
        <f>IF(COUNT(Games[QuadRank])&gt;0,_xlfn.RANK.EQ(Games[[#This Row],[QuadSort]],Games[QuadSort],1),"")</f>
        <v/>
      </c>
      <c r="X3" s="5"/>
      <c r="Y3" s="5"/>
      <c r="AA3" s="21" t="s">
        <v>62</v>
      </c>
      <c r="AB3" s="22">
        <v>2</v>
      </c>
      <c r="AC3" s="22">
        <v>4</v>
      </c>
      <c r="AD3">
        <f>Names[[#This Row],[Pairs]]+Names[[#This Row],[Quads]]</f>
        <v>6</v>
      </c>
      <c r="AE3">
        <f>Names[[#This Row],[Pairs]]*2 + Names[[#This Row],[Quads]]*4</f>
        <v>20</v>
      </c>
    </row>
    <row r="4" spans="1:31" x14ac:dyDescent="0.2">
      <c r="J4" s="7" t="str">
        <f>TEXT(Games[[#This Row],[Date]], "ddd")</f>
        <v>Sun</v>
      </c>
      <c r="K4" s="11">
        <v>46117</v>
      </c>
      <c r="L4" s="10">
        <v>0.56597222222222221</v>
      </c>
      <c r="M4" t="s">
        <v>39</v>
      </c>
      <c r="N4" t="s">
        <v>15</v>
      </c>
      <c r="O4" s="15">
        <f>_xlfn.XLOOKUP(Games[[#This Row],[Type]],Types[Type],Types[Price])</f>
        <v>75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$75.00 (4)</v>
      </c>
      <c r="R4" s="12"/>
      <c r="S4" s="16"/>
      <c r="T4" cm="1">
        <f t="array" aca="1" ref="T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1.0000023727877498</v>
      </c>
      <c r="U4" cm="1">
        <f t="array" aca="1" ref="U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1.0000023727877498</v>
      </c>
      <c r="V4">
        <f ca="1">_xlfn.RANK.EQ(Games[[#This Row],[Sort]],Games[Sort],1)</f>
        <v>63</v>
      </c>
      <c r="W4" t="str">
        <f>IF(COUNT(Games[QuadRank])&gt;0,_xlfn.RANK.EQ(Games[[#This Row],[QuadSort]],Games[QuadSort],1),"")</f>
        <v/>
      </c>
      <c r="X4" s="5"/>
      <c r="Y4" s="5"/>
      <c r="AA4" s="21" t="s">
        <v>63</v>
      </c>
      <c r="AB4" s="22">
        <v>6</v>
      </c>
      <c r="AC4" s="22">
        <v>4</v>
      </c>
      <c r="AD4">
        <f>Names[[#This Row],[Pairs]]+Names[[#This Row],[Quads]]</f>
        <v>10</v>
      </c>
      <c r="AE4">
        <f>Names[[#This Row],[Pairs]]*2 + Names[[#This Row],[Quads]]*4</f>
        <v>28</v>
      </c>
    </row>
    <row r="5" spans="1:31" x14ac:dyDescent="0.2">
      <c r="J5" s="7" t="str">
        <f>TEXT(Games[[#This Row],[Date]], "ddd")</f>
        <v>Mon</v>
      </c>
      <c r="K5" s="11">
        <v>46118</v>
      </c>
      <c r="L5" s="10">
        <v>0.78125</v>
      </c>
      <c r="M5" t="s">
        <v>40</v>
      </c>
      <c r="N5" t="s">
        <v>15</v>
      </c>
      <c r="O5" s="15">
        <f>_xlfn.XLOOKUP(Games[[#This Row],[Type]],Types[Type],Types[Price])</f>
        <v>75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$75.00 (4)</v>
      </c>
      <c r="R5" s="12"/>
      <c r="S5" s="16"/>
      <c r="T5" cm="1">
        <f t="array" aca="1" ref="T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1.0000020008021622</v>
      </c>
      <c r="U5" cm="1">
        <f t="array" aca="1" ref="U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1.0000020008021622</v>
      </c>
      <c r="V5">
        <f ca="1">_xlfn.RANK.EQ(Games[[#This Row],[Sort]],Games[Sort],1)</f>
        <v>55</v>
      </c>
      <c r="W5" t="str">
        <f>IF(COUNT(Games[QuadRank])&gt;0,_xlfn.RANK.EQ(Games[[#This Row],[QuadSort]],Games[QuadSort],1),"")</f>
        <v/>
      </c>
      <c r="X5" s="5"/>
      <c r="Y5" s="5"/>
      <c r="AA5" t="s">
        <v>64</v>
      </c>
      <c r="AB5">
        <v>10</v>
      </c>
      <c r="AC5">
        <v>0</v>
      </c>
      <c r="AD5">
        <f>Names[[#This Row],[Pairs]]+Names[[#This Row],[Quads]]</f>
        <v>10</v>
      </c>
      <c r="AE5">
        <f>Names[[#This Row],[Pairs]]*2 + Names[[#This Row],[Quads]]*4</f>
        <v>20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>TEXT(Games[[#This Row],[Date]], "ddd")</f>
        <v>Tue</v>
      </c>
      <c r="K6" s="11">
        <v>46119</v>
      </c>
      <c r="L6" s="10">
        <v>0.78125</v>
      </c>
      <c r="M6" t="s">
        <v>40</v>
      </c>
      <c r="N6" t="s">
        <v>15</v>
      </c>
      <c r="O6" s="15">
        <f>_xlfn.XLOOKUP(Games[[#This Row],[Type]],Types[Type],Types[Price])</f>
        <v>75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$75.00 (4)</v>
      </c>
      <c r="R6" s="12"/>
      <c r="S6" s="16"/>
      <c r="T6" cm="1">
        <f t="array" aca="1" ref="T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1.0000001245727883</v>
      </c>
      <c r="U6" cm="1">
        <f t="array" aca="1" ref="U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1.0000001245727883</v>
      </c>
      <c r="V6">
        <f ca="1">_xlfn.RANK.EQ(Games[[#This Row],[Sort]],Games[Sort],1)</f>
        <v>5</v>
      </c>
      <c r="W6" t="str">
        <f>IF(COUNT(Games[QuadRank])&gt;0,_xlfn.RANK.EQ(Games[[#This Row],[QuadSort]],Games[QuadSort],1),"")</f>
        <v/>
      </c>
      <c r="X6" s="5"/>
      <c r="Y6" s="5"/>
      <c r="AA6" t="s">
        <v>65</v>
      </c>
      <c r="AB6">
        <v>12</v>
      </c>
      <c r="AC6">
        <v>0</v>
      </c>
      <c r="AD6">
        <f>Names[[#This Row],[Pairs]]+Names[[#This Row],[Quads]]</f>
        <v>12</v>
      </c>
      <c r="AE6">
        <f>Names[[#This Row],[Pairs]]*2 + Names[[#This Row],[Quads]]*4</f>
        <v>24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>TEXT(Games[[#This Row],[Date]], "ddd")</f>
        <v>Wed</v>
      </c>
      <c r="K7" s="11">
        <v>46120</v>
      </c>
      <c r="L7" s="10">
        <v>0.67013888888888884</v>
      </c>
      <c r="M7" t="s">
        <v>40</v>
      </c>
      <c r="N7" t="s">
        <v>15</v>
      </c>
      <c r="O7" s="15">
        <f>_xlfn.XLOOKUP(Games[[#This Row],[Type]],Types[Type],Types[Price])</f>
        <v>75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$75.00 (4)</v>
      </c>
      <c r="R7" s="12"/>
      <c r="S7" s="16"/>
      <c r="T7" cm="1">
        <f t="array" aca="1" ref="T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1.000000181376471</v>
      </c>
      <c r="U7" cm="1">
        <f t="array" aca="1" ref="U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1.000000181376471</v>
      </c>
      <c r="V7">
        <f ca="1">_xlfn.RANK.EQ(Games[[#This Row],[Sort]],Games[Sort],1)</f>
        <v>7</v>
      </c>
      <c r="W7" t="str">
        <f>IF(COUNT(Games[QuadRank])&gt;0,_xlfn.RANK.EQ(Games[[#This Row],[QuadSort]],Games[QuadSort],1),"")</f>
        <v/>
      </c>
      <c r="X7" s="5"/>
      <c r="Y7" s="5"/>
      <c r="AA7" t="s">
        <v>66</v>
      </c>
      <c r="AB7">
        <v>0</v>
      </c>
      <c r="AC7">
        <v>10</v>
      </c>
      <c r="AD7">
        <f>Names[[#This Row],[Pairs]]+Names[[#This Row],[Quads]]</f>
        <v>10</v>
      </c>
      <c r="AE7">
        <f>Names[[#This Row],[Pairs]]*2 + Names[[#This Row],[Quads]]*4</f>
        <v>40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>TEXT(Games[[#This Row],[Date]], "ddd")</f>
        <v>Fri</v>
      </c>
      <c r="K8" s="11">
        <v>46129</v>
      </c>
      <c r="L8" s="10">
        <v>0.78125</v>
      </c>
      <c r="M8" t="s">
        <v>41</v>
      </c>
      <c r="N8" t="s">
        <v>15</v>
      </c>
      <c r="O8" s="15">
        <f>_xlfn.XLOOKUP(Games[[#This Row],[Type]],Types[Type],Types[Price])</f>
        <v>75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$75.00 (4)</v>
      </c>
      <c r="R8" s="12"/>
      <c r="S8" s="16"/>
      <c r="T8" cm="1">
        <f t="array" aca="1" ref="T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1.0000012227020851</v>
      </c>
      <c r="U8" cm="1">
        <f t="array" aca="1" ref="U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1.0000012227020851</v>
      </c>
      <c r="V8">
        <f ca="1">_xlfn.RANK.EQ(Games[[#This Row],[Sort]],Games[Sort],1)</f>
        <v>32</v>
      </c>
      <c r="W8" t="str">
        <f>IF(COUNT(Games[QuadRank])&gt;0,_xlfn.RANK.EQ(Games[[#This Row],[QuadSort]],Games[QuadSort],1),"")</f>
        <v/>
      </c>
      <c r="X8" s="5"/>
      <c r="Y8" s="5"/>
      <c r="AA8" t="s">
        <v>67</v>
      </c>
      <c r="AB8">
        <v>12</v>
      </c>
      <c r="AC8">
        <v>0</v>
      </c>
      <c r="AD8">
        <f>Names[[#This Row],[Pairs]]+Names[[#This Row],[Quads]]</f>
        <v>12</v>
      </c>
      <c r="AE8">
        <f>Names[[#This Row],[Pairs]]*2 + Names[[#This Row],[Quads]]*4</f>
        <v>24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>TEXT(Games[[#This Row],[Date]], "ddd")</f>
        <v>Sat</v>
      </c>
      <c r="K9" s="11">
        <v>46130</v>
      </c>
      <c r="L9" s="10">
        <v>0.67013888888888884</v>
      </c>
      <c r="M9" t="s">
        <v>41</v>
      </c>
      <c r="N9" t="s">
        <v>15</v>
      </c>
      <c r="O9" s="15">
        <f>_xlfn.XLOOKUP(Games[[#This Row],[Type]],Types[Type],Types[Price])</f>
        <v>75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$75.00 (4)</v>
      </c>
      <c r="R9" s="12"/>
      <c r="S9" s="16"/>
      <c r="T9" cm="1">
        <f t="array" aca="1" ref="T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1.0000012276279466</v>
      </c>
      <c r="U9" cm="1">
        <f t="array" aca="1" ref="U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1.0000012276279466</v>
      </c>
      <c r="V9">
        <f ca="1">_xlfn.RANK.EQ(Games[[#This Row],[Sort]],Games[Sort],1)</f>
        <v>34</v>
      </c>
      <c r="W9" t="str">
        <f>IF(COUNT(Games[QuadRank])&gt;0,_xlfn.RANK.EQ(Games[[#This Row],[QuadSort]],Games[QuadSort],1),"")</f>
        <v/>
      </c>
      <c r="X9" s="5"/>
      <c r="Y9" s="5"/>
      <c r="AA9" t="s">
        <v>68</v>
      </c>
      <c r="AB9">
        <v>0</v>
      </c>
      <c r="AC9">
        <v>8</v>
      </c>
      <c r="AD9">
        <f>Names[[#This Row],[Pairs]]+Names[[#This Row],[Quads]]</f>
        <v>8</v>
      </c>
      <c r="AE9">
        <f>Names[[#This Row],[Pairs]]*2 + Names[[#This Row],[Quads]]*4</f>
        <v>32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>TEXT(Games[[#This Row],[Date]], "ddd")</f>
        <v>Sun</v>
      </c>
      <c r="K10" s="11">
        <v>46131</v>
      </c>
      <c r="L10" s="10">
        <v>0.56597222222222221</v>
      </c>
      <c r="M10" t="s">
        <v>41</v>
      </c>
      <c r="N10" t="s">
        <v>15</v>
      </c>
      <c r="O10" s="15">
        <f>_xlfn.XLOOKUP(Games[[#This Row],[Type]],Types[Type],Types[Price])</f>
        <v>75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$75.00 (4)</v>
      </c>
      <c r="R10" s="12"/>
      <c r="S10" s="16"/>
      <c r="T10" cm="1">
        <f t="array" aca="1" ref="T1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1.0000012862711303</v>
      </c>
      <c r="U10" cm="1">
        <f t="array" aca="1" ref="U1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1.0000012862711303</v>
      </c>
      <c r="V10">
        <f ca="1">_xlfn.RANK.EQ(Games[[#This Row],[Sort]],Games[Sort],1)</f>
        <v>35</v>
      </c>
      <c r="W10" t="str">
        <f>IF(COUNT(Games[QuadRank])&gt;0,_xlfn.RANK.EQ(Games[[#This Row],[QuadSort]],Games[QuadSort],1),"")</f>
        <v/>
      </c>
      <c r="X10" s="5"/>
      <c r="Y10" s="5"/>
      <c r="AA10" t="s">
        <v>69</v>
      </c>
      <c r="AB10">
        <v>0</v>
      </c>
      <c r="AC10">
        <v>20</v>
      </c>
      <c r="AD10">
        <f>Names[[#This Row],[Pairs]]+Names[[#This Row],[Quads]]</f>
        <v>20</v>
      </c>
      <c r="AE10">
        <f>Names[[#This Row],[Pairs]]*2 + Names[[#This Row],[Quads]]*4</f>
        <v>80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>TEXT(Games[[#This Row],[Date]], "ddd")</f>
        <v>Mon</v>
      </c>
      <c r="K11" s="11">
        <v>46132</v>
      </c>
      <c r="L11" s="10">
        <v>0.78125</v>
      </c>
      <c r="M11" t="s">
        <v>42</v>
      </c>
      <c r="N11" t="s">
        <v>15</v>
      </c>
      <c r="O11" s="15">
        <f>_xlfn.XLOOKUP(Games[[#This Row],[Type]],Types[Type],Types[Price])</f>
        <v>75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$75.00 (4)</v>
      </c>
      <c r="R11" s="12"/>
      <c r="S11" s="16"/>
      <c r="T11" cm="1">
        <f t="array" aca="1" ref="T1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1.000001755806861</v>
      </c>
      <c r="U11" cm="1">
        <f t="array" aca="1" ref="U1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1.000001755806861</v>
      </c>
      <c r="V11">
        <f ca="1">_xlfn.RANK.EQ(Games[[#This Row],[Sort]],Games[Sort],1)</f>
        <v>52</v>
      </c>
      <c r="W11" t="str">
        <f>IF(COUNT(Games[QuadRank])&gt;0,_xlfn.RANK.EQ(Games[[#This Row],[QuadSort]],Games[QuadSort],1),"")</f>
        <v/>
      </c>
      <c r="X11" s="5"/>
      <c r="Y11" s="5"/>
      <c r="AA11" t="s">
        <v>70</v>
      </c>
      <c r="AB11">
        <v>8</v>
      </c>
      <c r="AC11">
        <v>1</v>
      </c>
      <c r="AD11">
        <f>Names[[#This Row],[Pairs]]+Names[[#This Row],[Quads]]</f>
        <v>9</v>
      </c>
      <c r="AE11">
        <f>Names[[#This Row],[Pairs]]*2 + Names[[#This Row],[Quads]]*4</f>
        <v>20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>TEXT(Games[[#This Row],[Date]], "ddd")</f>
        <v>Tue</v>
      </c>
      <c r="K12" s="11">
        <v>46133</v>
      </c>
      <c r="L12" s="9">
        <v>0.78125</v>
      </c>
      <c r="M12" t="s">
        <v>42</v>
      </c>
      <c r="N12" t="s">
        <v>15</v>
      </c>
      <c r="O12" s="15">
        <f>_xlfn.XLOOKUP(Games[[#This Row],[Type]],Types[Type],Types[Price])</f>
        <v>75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$75.00 (4)</v>
      </c>
      <c r="R12" s="12"/>
      <c r="S12" s="16"/>
      <c r="T12" cm="1">
        <f t="array" aca="1" ref="T1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1.0000026193035148</v>
      </c>
      <c r="U12" cm="1">
        <f t="array" aca="1" ref="U1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1.0000026193035148</v>
      </c>
      <c r="V12">
        <f ca="1">_xlfn.RANK.EQ(Games[[#This Row],[Sort]],Games[Sort],1)</f>
        <v>78</v>
      </c>
      <c r="W12" t="str">
        <f>IF(COUNT(Games[QuadRank])&gt;0,_xlfn.RANK.EQ(Games[[#This Row],[QuadSort]],Games[QuadSort],1),"")</f>
        <v/>
      </c>
      <c r="X12" s="5"/>
      <c r="Y12" s="5"/>
      <c r="AD12">
        <f>Names[[#This Row],[Pairs]]+Names[[#This Row],[Quads]]</f>
        <v>0</v>
      </c>
      <c r="AE12">
        <f>Names[[#This Row],[Pairs]]*2 + Names[[#This Row],[Quads]]*4</f>
        <v>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>TEXT(Games[[#This Row],[Date]], "ddd")</f>
        <v>Wed</v>
      </c>
      <c r="K13" s="11">
        <v>46134</v>
      </c>
      <c r="L13" s="9">
        <v>0.78125</v>
      </c>
      <c r="M13" t="s">
        <v>42</v>
      </c>
      <c r="N13" t="s">
        <v>15</v>
      </c>
      <c r="O13" s="15">
        <f>_xlfn.XLOOKUP(Games[[#This Row],[Type]],Types[Type],Types[Price])</f>
        <v>75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$75.00 (4)</v>
      </c>
      <c r="R13" s="12"/>
      <c r="S13" s="16"/>
      <c r="T13" cm="1">
        <f t="array" aca="1" ref="T1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1.0000007430741411</v>
      </c>
      <c r="U13" cm="1">
        <f t="array" aca="1" ref="U1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1.0000007430741411</v>
      </c>
      <c r="V13">
        <f ca="1">_xlfn.RANK.EQ(Games[[#This Row],[Sort]],Games[Sort],1)</f>
        <v>20</v>
      </c>
      <c r="W13" t="str">
        <f>IF(COUNT(Games[QuadRank])&gt;0,_xlfn.RANK.EQ(Games[[#This Row],[QuadSort]],Games[QuadSort],1),"")</f>
        <v/>
      </c>
      <c r="X13" s="5"/>
      <c r="Y13" s="5"/>
      <c r="AD13">
        <f>Names[[#This Row],[Pairs]]+Names[[#This Row],[Quads]]</f>
        <v>0</v>
      </c>
      <c r="AE13">
        <f>Names[[#This Row],[Pairs]]*2 + Names[[#This Row],[Quads]]*4</f>
        <v>0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>TEXT(Games[[#This Row],[Date]], "ddd")</f>
        <v>Thu</v>
      </c>
      <c r="K14" s="11">
        <v>46135</v>
      </c>
      <c r="L14" s="9">
        <v>0.54513888888888895</v>
      </c>
      <c r="M14" t="s">
        <v>42</v>
      </c>
      <c r="N14" t="s">
        <v>15</v>
      </c>
      <c r="O14" s="15">
        <f>_xlfn.XLOOKUP(Games[[#This Row],[Type]],Types[Type],Types[Price])</f>
        <v>75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$75.00 (4)</v>
      </c>
      <c r="R14" s="12"/>
      <c r="S14" s="16"/>
      <c r="T14" cm="1">
        <f t="array" aca="1" ref="T1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1.0000025067478118</v>
      </c>
      <c r="U14" cm="1">
        <f t="array" aca="1" ref="U1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1.0000025067478118</v>
      </c>
      <c r="V14">
        <f ca="1">_xlfn.RANK.EQ(Games[[#This Row],[Sort]],Games[Sort],1)</f>
        <v>70</v>
      </c>
      <c r="W14" t="str">
        <f>IF(COUNT(Games[QuadRank])&gt;0,_xlfn.RANK.EQ(Games[[#This Row],[QuadSort]],Games[QuadSort],1),"")</f>
        <v/>
      </c>
      <c r="X14" s="5"/>
      <c r="Y14" s="5"/>
      <c r="AD14">
        <f>Names[[#This Row],[Pairs]]+Names[[#This Row],[Quads]]</f>
        <v>0</v>
      </c>
      <c r="AE14">
        <f>Names[[#This Row],[Pairs]]*2 + Names[[#This Row],[Quads]]*4</f>
        <v>0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>TEXT(Games[[#This Row],[Date]], "ddd")</f>
        <v>Fri</v>
      </c>
      <c r="K15" s="11">
        <v>46143</v>
      </c>
      <c r="L15" s="9">
        <v>0.78125</v>
      </c>
      <c r="M15" t="s">
        <v>43</v>
      </c>
      <c r="N15" t="s">
        <v>15</v>
      </c>
      <c r="O15" s="15">
        <f>_xlfn.XLOOKUP(Games[[#This Row],[Type]],Types[Type],Types[Price])</f>
        <v>75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$75.00 (4)</v>
      </c>
      <c r="R15" s="12"/>
      <c r="S15" s="16"/>
      <c r="T15" cm="1">
        <f t="array" aca="1" ref="T1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1.0000009777067842</v>
      </c>
      <c r="U15" cm="1">
        <f t="array" aca="1" ref="U1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1.0000009777067842</v>
      </c>
      <c r="V15">
        <f ca="1">_xlfn.RANK.EQ(Games[[#This Row],[Sort]],Games[Sort],1)</f>
        <v>24</v>
      </c>
      <c r="W15" t="str">
        <f>IF(COUNT(Games[QuadRank])&gt;0,_xlfn.RANK.EQ(Games[[#This Row],[QuadSort]],Games[QuadSort],1),"")</f>
        <v/>
      </c>
      <c r="X15" s="5"/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>TEXT(Games[[#This Row],[Date]], "ddd")</f>
        <v>Sat</v>
      </c>
      <c r="K16" s="11">
        <v>46144</v>
      </c>
      <c r="L16" s="9">
        <v>0.67013888888888884</v>
      </c>
      <c r="M16" t="s">
        <v>43</v>
      </c>
      <c r="N16" t="s">
        <v>15</v>
      </c>
      <c r="O16" s="15">
        <f>_xlfn.XLOOKUP(Games[[#This Row],[Type]],Types[Type],Types[Price])</f>
        <v>75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$75.00 (4)</v>
      </c>
      <c r="R16" s="12"/>
      <c r="S16" s="16"/>
      <c r="T16" cm="1">
        <f t="array" aca="1" ref="T1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1.0000025667417844</v>
      </c>
      <c r="U16" cm="1">
        <f t="array" aca="1" ref="U1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1.0000025667417844</v>
      </c>
      <c r="V16">
        <f ca="1">_xlfn.RANK.EQ(Games[[#This Row],[Sort]],Games[Sort],1)</f>
        <v>75</v>
      </c>
      <c r="W16" t="str">
        <f>IF(COUNT(Games[QuadRank])&gt;0,_xlfn.RANK.EQ(Games[[#This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>TEXT(Games[[#This Row],[Date]], "ddd")</f>
        <v>Sun</v>
      </c>
      <c r="K17" s="11">
        <v>46145</v>
      </c>
      <c r="L17" s="9">
        <v>0.56597222222222221</v>
      </c>
      <c r="M17" t="s">
        <v>43</v>
      </c>
      <c r="N17" t="s">
        <v>15</v>
      </c>
      <c r="O17" s="15">
        <f>_xlfn.XLOOKUP(Games[[#This Row],[Type]],Types[Type],Types[Price])</f>
        <v>75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$75.00 (4)</v>
      </c>
      <c r="R17" s="12"/>
      <c r="S17" s="16"/>
      <c r="T17" cm="1">
        <f t="array" aca="1" ref="T1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1.0000026253849683</v>
      </c>
      <c r="U17" cm="1">
        <f t="array" aca="1" ref="U1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1.0000026253849683</v>
      </c>
      <c r="V17">
        <f ca="1">_xlfn.RANK.EQ(Games[[#This Row],[Sort]],Games[Sort],1)</f>
        <v>79</v>
      </c>
      <c r="W17" t="str">
        <f>IF(COUNT(Games[QuadRank])&gt;0,_xlfn.RANK.EQ(Games[[#This Row],[QuadSort]],Games[QuadSort],1),"")</f>
        <v/>
      </c>
      <c r="X17" s="5"/>
      <c r="Y17" s="5"/>
      <c r="AA17" t="s">
        <v>21</v>
      </c>
      <c r="AB17">
        <f>SUBTOTAL(109,Names[Pairs])</f>
        <v>60</v>
      </c>
      <c r="AC17">
        <f>SUBTOTAL(109,Names[Quads])</f>
        <v>47</v>
      </c>
      <c r="AD17">
        <f>SUBTOTAL(109,Names[Games])</f>
        <v>107</v>
      </c>
      <c r="AE17">
        <f>SUBTOTAL(109,Names[Tickets])</f>
        <v>308</v>
      </c>
    </row>
    <row r="18" spans="2:32" x14ac:dyDescent="0.2">
      <c r="J18" s="7" t="str">
        <f>TEXT(Games[[#This Row],[Date]], "ddd")</f>
        <v>Tue</v>
      </c>
      <c r="K18" s="11">
        <v>46147</v>
      </c>
      <c r="L18" s="9">
        <v>0.78125</v>
      </c>
      <c r="M18" t="s">
        <v>44</v>
      </c>
      <c r="N18" t="s">
        <v>15</v>
      </c>
      <c r="O18" s="15">
        <f>_xlfn.XLOOKUP(Games[[#This Row],[Type]],Types[Type],Types[Price])</f>
        <v>75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$75.00 (4)</v>
      </c>
      <c r="R18" s="12"/>
      <c r="S18" s="16"/>
      <c r="T18" cm="1">
        <f t="array" aca="1" ref="T1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1.0000016919673713</v>
      </c>
      <c r="U18" cm="1">
        <f t="array" aca="1" ref="U1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1.0000016919673713</v>
      </c>
      <c r="V18">
        <f ca="1">_xlfn.RANK.EQ(Games[[#This Row],[Sort]],Games[Sort],1)</f>
        <v>50</v>
      </c>
      <c r="W18" t="str">
        <f>IF(COUNT(Games[QuadRank])&gt;0,_xlfn.RANK.EQ(Games[[#This Row],[QuadSort]],Games[QuadSort],1),"")</f>
        <v/>
      </c>
      <c r="X18" s="5"/>
      <c r="Y18" s="5"/>
      <c r="AC18" t="s">
        <v>25</v>
      </c>
      <c r="AE18" s="1">
        <f>SUM(Games[GamePairs]) - Names[[#Totals],[Tickets]]/2</f>
        <v>8</v>
      </c>
    </row>
    <row r="19" spans="2:32" x14ac:dyDescent="0.2">
      <c r="J19" s="7" t="str">
        <f>TEXT(Games[[#This Row],[Date]], "ddd")</f>
        <v>Wed</v>
      </c>
      <c r="K19" s="11">
        <v>46148</v>
      </c>
      <c r="L19" s="9">
        <v>0.78125</v>
      </c>
      <c r="M19" t="s">
        <v>44</v>
      </c>
      <c r="N19" t="s">
        <v>15</v>
      </c>
      <c r="O19" s="15">
        <f>_xlfn.XLOOKUP(Games[[#This Row],[Type]],Types[Type],Types[Price])</f>
        <v>75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$75.00 (4)</v>
      </c>
      <c r="R19" s="12"/>
      <c r="S19" s="16"/>
      <c r="T19" cm="1">
        <f t="array" aca="1" ref="T1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1.0000025554640251</v>
      </c>
      <c r="U19" cm="1">
        <f t="array" aca="1" ref="U1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1.0000025554640251</v>
      </c>
      <c r="V19">
        <f ca="1">_xlfn.RANK.EQ(Games[[#This Row],[Sort]],Games[Sort],1)</f>
        <v>73</v>
      </c>
      <c r="W19" t="str">
        <f>IF(COUNT(Games[QuadRank])&gt;0,_xlfn.RANK.EQ(Games[[#This Row],[QuadSort]],Games[QuadSort],1),"")</f>
        <v/>
      </c>
      <c r="X19" s="5"/>
      <c r="Y19" s="5"/>
      <c r="AC19" s="3" t="s">
        <v>37</v>
      </c>
      <c r="AE19">
        <f>COUNTIF(Games[GamePairs],"&gt;1")-Names[[#Totals],[Quads]]</f>
        <v>34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>TEXT(Games[[#This Row],[Date]], "ddd")</f>
        <v>Thu</v>
      </c>
      <c r="K20" s="11">
        <v>46149</v>
      </c>
      <c r="L20" s="9">
        <v>0.54513888888888895</v>
      </c>
      <c r="M20" t="s">
        <v>44</v>
      </c>
      <c r="N20" t="s">
        <v>15</v>
      </c>
      <c r="O20" s="15">
        <f>_xlfn.XLOOKUP(Games[[#This Row],[Type]],Types[Type],Types[Price])</f>
        <v>75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$75.00 (4)</v>
      </c>
      <c r="R20" s="12"/>
      <c r="S20" s="16"/>
      <c r="T20" cm="1">
        <f t="array" aca="1" ref="T2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1.0000011061356224</v>
      </c>
      <c r="U20" cm="1">
        <f t="array" aca="1" ref="U2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1.0000011061356224</v>
      </c>
      <c r="V20">
        <f ca="1">_xlfn.RANK.EQ(Games[[#This Row],[Sort]],Games[Sort],1)</f>
        <v>27</v>
      </c>
      <c r="W20" t="str">
        <f>IF(COUNT(Games[QuadRank])&gt;0,_xlfn.RANK.EQ(Games[[#This Row],[QuadSort]],Games[QuadSort],1),"")</f>
        <v/>
      </c>
      <c r="X20" s="5"/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>TEXT(Games[[#This Row],[Date]], "ddd")</f>
        <v>Fri</v>
      </c>
      <c r="K21" s="11">
        <v>46157</v>
      </c>
      <c r="L21" s="9">
        <v>0.78125</v>
      </c>
      <c r="M21" t="s">
        <v>45</v>
      </c>
      <c r="N21" t="s">
        <v>15</v>
      </c>
      <c r="O21" s="15">
        <f>_xlfn.XLOOKUP(Games[[#This Row],[Type]],Types[Type],Types[Price])</f>
        <v>75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$75.00 (4)</v>
      </c>
      <c r="R21" s="12"/>
      <c r="S21" s="16"/>
      <c r="T21" cm="1">
        <f t="array" aca="1" ref="T2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1.0000000503706408</v>
      </c>
      <c r="U21" cm="1">
        <f t="array" aca="1" ref="U2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1.0000000503706408</v>
      </c>
      <c r="V21">
        <f ca="1">_xlfn.RANK.EQ(Games[[#This Row],[Sort]],Games[Sort],1)</f>
        <v>2</v>
      </c>
      <c r="W21" t="str">
        <f>IF(COUNT(Games[QuadRank])&gt;0,_xlfn.RANK.EQ(Games[[#This Row],[QuadSort]],Games[QuadSort],1),"")</f>
        <v/>
      </c>
      <c r="X21" s="5"/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>TEXT(Games[[#This Row],[Date]], "ddd")</f>
        <v>Sat</v>
      </c>
      <c r="K22" s="11">
        <v>46158</v>
      </c>
      <c r="L22" s="9">
        <v>0.67013888888888884</v>
      </c>
      <c r="M22" t="s">
        <v>45</v>
      </c>
      <c r="N22" t="s">
        <v>15</v>
      </c>
      <c r="O22" s="15">
        <f>_xlfn.XLOOKUP(Games[[#This Row],[Type]],Types[Type],Types[Price])</f>
        <v>75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$75.00 (4)</v>
      </c>
      <c r="R22" s="12"/>
      <c r="S22" s="16"/>
      <c r="T22" cm="1">
        <f t="array" aca="1" ref="T2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1.0000011661295951</v>
      </c>
      <c r="U22" cm="1">
        <f t="array" aca="1" ref="U2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1.0000011661295951</v>
      </c>
      <c r="V22">
        <f ca="1">_xlfn.RANK.EQ(Games[[#This Row],[Sort]],Games[Sort],1)</f>
        <v>29</v>
      </c>
      <c r="W22" t="str">
        <f>IF(COUNT(Games[QuadRank])&gt;0,_xlfn.RANK.EQ(Games[[#This Row],[QuadSort]],Games[QuadSort],1),"")</f>
        <v/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>TEXT(Games[[#This Row],[Date]], "ddd")</f>
        <v>Sun</v>
      </c>
      <c r="K23" s="11">
        <v>46159</v>
      </c>
      <c r="L23" s="9">
        <v>0.56597222222222221</v>
      </c>
      <c r="M23" t="s">
        <v>45</v>
      </c>
      <c r="N23" t="s">
        <v>15</v>
      </c>
      <c r="O23" s="15">
        <f>_xlfn.XLOOKUP(Games[[#This Row],[Type]],Types[Type],Types[Price])</f>
        <v>75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$75.00 (4)</v>
      </c>
      <c r="R23" s="12"/>
      <c r="S23" s="16"/>
      <c r="T23" cm="1">
        <f t="array" aca="1" ref="T2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1.0000012247727788</v>
      </c>
      <c r="U23" cm="1">
        <f t="array" aca="1" ref="U2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1.0000012247727788</v>
      </c>
      <c r="V23">
        <f ca="1">_xlfn.RANK.EQ(Games[[#This Row],[Sort]],Games[Sort],1)</f>
        <v>33</v>
      </c>
      <c r="W23" t="str">
        <f>IF(COUNT(Games[QuadRank])&gt;0,_xlfn.RANK.EQ(Games[[#This Row],[QuadSort]],Games[QuadSort],1),"")</f>
        <v/>
      </c>
      <c r="X23" s="5"/>
      <c r="Y23" s="5"/>
      <c r="AA23" t="s">
        <v>26</v>
      </c>
      <c r="AB23" t="s">
        <v>28</v>
      </c>
      <c r="AC23" t="s">
        <v>19</v>
      </c>
      <c r="AD23" t="s">
        <v>22</v>
      </c>
      <c r="AE23" t="s">
        <v>23</v>
      </c>
      <c r="AF23" t="s">
        <v>38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>TEXT(Games[[#This Row],[Date]], "ddd")</f>
        <v>Mon</v>
      </c>
      <c r="K24" s="11">
        <v>46160</v>
      </c>
      <c r="L24" s="9">
        <v>0.78125</v>
      </c>
      <c r="M24" t="s">
        <v>46</v>
      </c>
      <c r="N24" t="s">
        <v>15</v>
      </c>
      <c r="O24" s="15">
        <f>_xlfn.XLOOKUP(Games[[#This Row],[Type]],Types[Type],Types[Price])</f>
        <v>75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$75.00 (4)</v>
      </c>
      <c r="R24" s="12"/>
      <c r="S24" s="16"/>
      <c r="T24" cm="1">
        <f t="array" aca="1" ref="T2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1.0000005834754166</v>
      </c>
      <c r="U24" cm="1">
        <f t="array" aca="1" ref="U2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1.0000005834754166</v>
      </c>
      <c r="V24">
        <f ca="1">_xlfn.RANK.EQ(Games[[#This Row],[Sort]],Games[Sort],1)</f>
        <v>14</v>
      </c>
      <c r="W24" t="str">
        <f>IF(COUNT(Games[QuadRank])&gt;0,_xlfn.RANK.EQ(Games[[#This Row],[QuadSort]],Games[QuadSort],1),"")</f>
        <v/>
      </c>
      <c r="X24" s="5"/>
      <c r="Y24" s="5"/>
      <c r="AA24" s="3" t="s">
        <v>15</v>
      </c>
      <c r="AB24" s="15">
        <v>75</v>
      </c>
      <c r="AC24">
        <v>2</v>
      </c>
      <c r="AD24">
        <f>COUNTIF(Games[Type],Types[[#This Row],[Type]])</f>
        <v>81</v>
      </c>
      <c r="AE24">
        <f>Types[[#This Row],[Games]]*Types[[#This Row],[Pairs]]*2</f>
        <v>324</v>
      </c>
      <c r="AF24" s="23">
        <f>Types[[#This Row],[Tickets]]*Types[[#This Row],[Price]]</f>
        <v>24300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>TEXT(Games[[#This Row],[Date]], "ddd")</f>
        <v>Tue</v>
      </c>
      <c r="K25" s="11">
        <v>46161</v>
      </c>
      <c r="L25" s="9">
        <v>0.78125</v>
      </c>
      <c r="M25" t="s">
        <v>46</v>
      </c>
      <c r="N25" t="s">
        <v>15</v>
      </c>
      <c r="O25" s="15">
        <f>_xlfn.XLOOKUP(Games[[#This Row],[Type]],Types[Type],Types[Price])</f>
        <v>75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$75.00 (4)</v>
      </c>
      <c r="R25" s="12"/>
      <c r="S25" s="16"/>
      <c r="T25" cm="1">
        <f t="array" aca="1" ref="T2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1.0000014469720704</v>
      </c>
      <c r="U25" cm="1">
        <f t="array" aca="1" ref="U2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1.0000014469720704</v>
      </c>
      <c r="V25">
        <f ca="1">_xlfn.RANK.EQ(Games[[#This Row],[Sort]],Games[Sort],1)</f>
        <v>39</v>
      </c>
      <c r="W25" t="str">
        <f>IF(COUNT(Games[QuadRank])&gt;0,_xlfn.RANK.EQ(Games[[#This Row],[QuadSort]],Games[QuadSort],1),"")</f>
        <v/>
      </c>
      <c r="X25" s="5"/>
      <c r="Y25" s="5"/>
      <c r="AA25" s="3" t="s">
        <v>21</v>
      </c>
      <c r="AD25">
        <f>SUBTOTAL(109,Types[Games])</f>
        <v>81</v>
      </c>
      <c r="AE25">
        <f>SUBTOTAL(109,Types[Tickets])</f>
        <v>324</v>
      </c>
      <c r="AF25" s="23">
        <f>SUBTOTAL(109,Types[Cost])</f>
        <v>24300</v>
      </c>
    </row>
    <row r="26" spans="2:32" x14ac:dyDescent="0.2">
      <c r="J26" s="7" t="str">
        <f>TEXT(Games[[#This Row],[Date]], "ddd")</f>
        <v>Wed</v>
      </c>
      <c r="K26" s="11">
        <v>46162</v>
      </c>
      <c r="L26" s="9">
        <v>0.78125</v>
      </c>
      <c r="M26" t="s">
        <v>46</v>
      </c>
      <c r="N26" t="s">
        <v>15</v>
      </c>
      <c r="O26" s="15">
        <f>_xlfn.XLOOKUP(Games[[#This Row],[Type]],Types[Type],Types[Price])</f>
        <v>75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$75.00 (4)</v>
      </c>
      <c r="R26" s="12"/>
      <c r="S26" s="16"/>
      <c r="T26" cm="1">
        <f t="array" aca="1" ref="T2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1.0000023104687241</v>
      </c>
      <c r="U26" cm="1">
        <f t="array" aca="1" ref="U2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1.0000023104687241</v>
      </c>
      <c r="V26">
        <f ca="1">_xlfn.RANK.EQ(Games[[#This Row],[Sort]],Games[Sort],1)</f>
        <v>60</v>
      </c>
      <c r="W26" t="str">
        <f>IF(COUNT(Games[QuadRank])&gt;0,_xlfn.RANK.EQ(Games[[#This Row],[QuadSort]],Games[QuadSort],1),"")</f>
        <v/>
      </c>
      <c r="X26" s="5"/>
      <c r="Y26" s="5"/>
    </row>
    <row r="27" spans="2:32" x14ac:dyDescent="0.2">
      <c r="J27" s="7" t="str">
        <f>TEXT(Games[[#This Row],[Date]], "ddd")</f>
        <v>Thu</v>
      </c>
      <c r="K27" s="11">
        <v>46163</v>
      </c>
      <c r="L27" s="9">
        <v>0.67013888888888884</v>
      </c>
      <c r="M27" t="s">
        <v>46</v>
      </c>
      <c r="N27" t="s">
        <v>15</v>
      </c>
      <c r="O27" s="15">
        <f>_xlfn.XLOOKUP(Games[[#This Row],[Type]],Types[Type],Types[Price])</f>
        <v>75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$75.00 (4)</v>
      </c>
      <c r="R27" s="12"/>
      <c r="S27" s="16"/>
      <c r="T27" cm="1">
        <f t="array" aca="1" ref="T2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1.000000476440104</v>
      </c>
      <c r="U27" cm="1">
        <f t="array" aca="1" ref="U2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1.000000476440104</v>
      </c>
      <c r="V27">
        <f ca="1">_xlfn.RANK.EQ(Games[[#This Row],[Sort]],Games[Sort],1)</f>
        <v>12</v>
      </c>
      <c r="W27" t="str">
        <f>IF(COUNT(Games[QuadRank])&gt;0,_xlfn.RANK.EQ(Games[[#This Row],[QuadSort]],Games[QuadSort],1),"")</f>
        <v/>
      </c>
      <c r="X27" s="5"/>
      <c r="Y27" s="5"/>
    </row>
    <row r="28" spans="2:32" x14ac:dyDescent="0.2">
      <c r="B28" s="13" t="b">
        <v>1</v>
      </c>
      <c r="C28" s="3" t="s">
        <v>16</v>
      </c>
      <c r="D28" s="8"/>
      <c r="E28" s="8"/>
      <c r="F28" s="8"/>
      <c r="G28" s="6"/>
      <c r="H28" s="6"/>
      <c r="I28" s="6"/>
      <c r="J28" s="7" t="str">
        <f>TEXT(Games[[#This Row],[Date]], "ddd")</f>
        <v>Fri</v>
      </c>
      <c r="K28" s="11">
        <v>46171</v>
      </c>
      <c r="L28" s="9">
        <v>0.78125</v>
      </c>
      <c r="M28" t="s">
        <v>47</v>
      </c>
      <c r="N28" t="s">
        <v>15</v>
      </c>
      <c r="O28" s="15">
        <f>_xlfn.XLOOKUP(Games[[#This Row],[Type]],Types[Type],Types[Price])</f>
        <v>75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$75.00 (4)</v>
      </c>
      <c r="R28" s="12"/>
      <c r="S28" s="16"/>
      <c r="T28" cm="1">
        <f t="array" aca="1" ref="T2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1.0000025451013672</v>
      </c>
      <c r="U28" cm="1">
        <f t="array" aca="1" ref="U2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1.0000025451013672</v>
      </c>
      <c r="V28">
        <f ca="1">_xlfn.RANK.EQ(Games[[#This Row],[Sort]],Games[Sort],1)</f>
        <v>72</v>
      </c>
      <c r="W28" t="str">
        <f>IF(COUNT(Games[QuadRank])&gt;0,_xlfn.RANK.EQ(Games[[#This Row],[QuadSort]],Games[QuadSort],1),"")</f>
        <v/>
      </c>
      <c r="X28" s="5"/>
      <c r="Y28" s="5"/>
    </row>
    <row r="29" spans="2:32" x14ac:dyDescent="0.2">
      <c r="B29" s="13" t="b">
        <v>0</v>
      </c>
      <c r="C29" s="3" t="s">
        <v>24</v>
      </c>
      <c r="D29" s="8"/>
      <c r="E29" s="8"/>
      <c r="F29" s="8"/>
      <c r="G29" s="6"/>
      <c r="H29" s="6"/>
      <c r="I29" s="6"/>
      <c r="J29" s="7" t="str">
        <f>TEXT(Games[[#This Row],[Date]], "ddd")</f>
        <v>Sat</v>
      </c>
      <c r="K29" s="11">
        <v>46172</v>
      </c>
      <c r="L29" s="9">
        <v>0.67013888888888884</v>
      </c>
      <c r="M29" t="s">
        <v>47</v>
      </c>
      <c r="N29" t="s">
        <v>15</v>
      </c>
      <c r="O29" s="15">
        <f>_xlfn.XLOOKUP(Games[[#This Row],[Type]],Types[Type],Types[Price])</f>
        <v>75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$75.00 (4)</v>
      </c>
      <c r="R29" s="12"/>
      <c r="S29" s="16"/>
      <c r="T29" cm="1">
        <f t="array" aca="1" ref="T2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1.0000000796129755</v>
      </c>
      <c r="U29" cm="1">
        <f t="array" aca="1" ref="U2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1.0000000796129755</v>
      </c>
      <c r="V29">
        <f ca="1">_xlfn.RANK.EQ(Games[[#This Row],[Sort]],Games[Sort],1)</f>
        <v>3</v>
      </c>
      <c r="W29" t="str">
        <f>IF(COUNT(Games[QuadRank])&gt;0,_xlfn.RANK.EQ(Games[[#This Row],[QuadSort]],Games[QuadSort],1),"")</f>
        <v/>
      </c>
      <c r="X29" s="5"/>
      <c r="Y29" s="5"/>
    </row>
    <row r="30" spans="2:32" x14ac:dyDescent="0.2">
      <c r="B30" s="13" t="b">
        <v>0</v>
      </c>
      <c r="C30" s="3" t="s">
        <v>17</v>
      </c>
      <c r="D30" s="8"/>
      <c r="E30" s="8"/>
      <c r="F30" s="8"/>
      <c r="G30" s="6"/>
      <c r="H30" s="6"/>
      <c r="I30" s="6"/>
      <c r="J30" s="7" t="str">
        <f>TEXT(Games[[#This Row],[Date]], "ddd")</f>
        <v>Sun</v>
      </c>
      <c r="K30" s="11">
        <v>46173</v>
      </c>
      <c r="L30" s="9">
        <v>0.56597222222222221</v>
      </c>
      <c r="M30" t="s">
        <v>47</v>
      </c>
      <c r="N30" t="s">
        <v>15</v>
      </c>
      <c r="O30" s="15">
        <f>_xlfn.XLOOKUP(Games[[#This Row],[Type]],Types[Type],Types[Price])</f>
        <v>75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$75.00 (4)</v>
      </c>
      <c r="R30" s="12"/>
      <c r="S30" s="16"/>
      <c r="T30" cm="1">
        <f t="array" aca="1" ref="T3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1.0000001382561592</v>
      </c>
      <c r="U30" cm="1">
        <f t="array" aca="1" ref="U3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1.0000001382561592</v>
      </c>
      <c r="V30">
        <f ca="1">_xlfn.RANK.EQ(Games[[#This Row],[Sort]],Games[Sort],1)</f>
        <v>6</v>
      </c>
      <c r="W30" t="str">
        <f>IF(COUNT(Games[QuadRank])&gt;0,_xlfn.RANK.EQ(Games[[#This Row],[QuadSort]],Games[QuadSort],1),"")</f>
        <v/>
      </c>
      <c r="X30" s="5"/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>TEXT(Games[[#This Row],[Date]], "ddd")</f>
        <v>Mon</v>
      </c>
      <c r="K31" s="11">
        <v>46174</v>
      </c>
      <c r="L31" s="9">
        <v>0.78125</v>
      </c>
      <c r="M31" t="s">
        <v>48</v>
      </c>
      <c r="N31" t="s">
        <v>15</v>
      </c>
      <c r="O31" s="15">
        <f>_xlfn.XLOOKUP(Games[[#This Row],[Type]],Types[Type],Types[Price])</f>
        <v>75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$75.00 (4)</v>
      </c>
      <c r="R31" s="12"/>
      <c r="S31" s="16"/>
      <c r="T31" cm="1">
        <f t="array" aca="1" ref="T3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1.0000023958653008</v>
      </c>
      <c r="U31" cm="1">
        <f t="array" aca="1" ref="U3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1.0000023958653008</v>
      </c>
      <c r="V31">
        <f ca="1">_xlfn.RANK.EQ(Games[[#This Row],[Sort]],Games[Sort],1)</f>
        <v>66</v>
      </c>
      <c r="W31" t="str">
        <f>IF(COUNT(Games[QuadRank])&gt;0,_xlfn.RANK.EQ(Games[[#This Row],[QuadSort]],Games[QuadSort],1),"")</f>
        <v/>
      </c>
      <c r="X31" s="5"/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>TEXT(Games[[#This Row],[Date]], "ddd")</f>
        <v>Tue</v>
      </c>
      <c r="K32" s="11">
        <v>46175</v>
      </c>
      <c r="L32" s="9">
        <v>0.78125</v>
      </c>
      <c r="M32" t="s">
        <v>48</v>
      </c>
      <c r="N32" t="s">
        <v>15</v>
      </c>
      <c r="O32" s="15">
        <f>_xlfn.XLOOKUP(Games[[#This Row],[Type]],Types[Type],Types[Price])</f>
        <v>75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$75.00 (4)</v>
      </c>
      <c r="R32" s="12"/>
      <c r="S32" s="16"/>
      <c r="T32" cm="1">
        <f t="array" aca="1" ref="T3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1.000000519635927</v>
      </c>
      <c r="U32" cm="1">
        <f t="array" aca="1" ref="U3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1.000000519635927</v>
      </c>
      <c r="V32">
        <f ca="1">_xlfn.RANK.EQ(Games[[#This Row],[Sort]],Games[Sort],1)</f>
        <v>13</v>
      </c>
      <c r="W32" t="str">
        <f>IF(COUNT(Games[QuadRank])&gt;0,_xlfn.RANK.EQ(Games[[#This Row],[QuadSort]],Games[QuadSort],1),"")</f>
        <v/>
      </c>
      <c r="X32" s="5"/>
      <c r="Y32" s="5"/>
    </row>
    <row r="33" spans="2:25" x14ac:dyDescent="0.2">
      <c r="J33" s="7" t="str">
        <f>TEXT(Games[[#This Row],[Date]], "ddd")</f>
        <v>Wed</v>
      </c>
      <c r="K33" s="11">
        <v>46176</v>
      </c>
      <c r="L33" s="9">
        <v>0.54513888888888895</v>
      </c>
      <c r="M33" t="s">
        <v>48</v>
      </c>
      <c r="N33" t="s">
        <v>15</v>
      </c>
      <c r="O33" s="15">
        <f>_xlfn.XLOOKUP(Games[[#This Row],[Type]],Types[Type],Types[Price])</f>
        <v>75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$75.00 (4)</v>
      </c>
      <c r="R33" s="12"/>
      <c r="S33" s="16"/>
      <c r="T33" cm="1">
        <f t="array" aca="1" ref="T3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1.0000026553802639</v>
      </c>
      <c r="U33" cm="1">
        <f t="array" aca="1" ref="U3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1.0000026553802639</v>
      </c>
      <c r="V33">
        <f ca="1">_xlfn.RANK.EQ(Games[[#This Row],[Sort]],Games[Sort],1)</f>
        <v>80</v>
      </c>
      <c r="W33" t="str">
        <f>IF(COUNT(Games[QuadRank])&gt;0,_xlfn.RANK.EQ(Games[[#This Row],[QuadSort]],Games[QuadSort],1),"")</f>
        <v/>
      </c>
      <c r="X33" s="5"/>
      <c r="Y33" s="5"/>
    </row>
    <row r="34" spans="2:25" x14ac:dyDescent="0.2">
      <c r="J34" s="7" t="str">
        <f>TEXT(Games[[#This Row],[Date]], "ddd")</f>
        <v>Fri</v>
      </c>
      <c r="K34" s="11">
        <v>46185</v>
      </c>
      <c r="L34" s="9">
        <v>0.78125</v>
      </c>
      <c r="M34" t="s">
        <v>49</v>
      </c>
      <c r="N34" t="s">
        <v>15</v>
      </c>
      <c r="O34" s="15">
        <f>_xlfn.XLOOKUP(Games[[#This Row],[Type]],Types[Type],Types[Price])</f>
        <v>75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$75.00 (4)</v>
      </c>
      <c r="R34" s="12"/>
      <c r="S34" s="16"/>
      <c r="T34" cm="1">
        <f t="array" aca="1" ref="T3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1.0000016177652238</v>
      </c>
      <c r="U34" cm="1">
        <f t="array" aca="1" ref="U3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1.0000016177652238</v>
      </c>
      <c r="V34">
        <f ca="1">_xlfn.RANK.EQ(Games[[#This Row],[Sort]],Games[Sort],1)</f>
        <v>48</v>
      </c>
      <c r="W34" t="str">
        <f>IF(COUNT(Games[QuadRank])&gt;0,_xlfn.RANK.EQ(Games[[#This Row],[QuadSort]],Games[QuadSort],1),"")</f>
        <v/>
      </c>
      <c r="X34" s="5"/>
      <c r="Y34" s="5"/>
    </row>
    <row r="35" spans="2:25" x14ac:dyDescent="0.2">
      <c r="J35" s="7" t="str">
        <f>TEXT(Games[[#This Row],[Date]], "ddd")</f>
        <v>Sat</v>
      </c>
      <c r="K35" s="11">
        <v>46186</v>
      </c>
      <c r="L35" s="9">
        <v>0.67013888888888884</v>
      </c>
      <c r="M35" t="s">
        <v>49</v>
      </c>
      <c r="N35" t="s">
        <v>15</v>
      </c>
      <c r="O35" s="15">
        <f>_xlfn.XLOOKUP(Games[[#This Row],[Type]],Types[Type],Types[Price])</f>
        <v>75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$75.00 (4)</v>
      </c>
      <c r="R35" s="12"/>
      <c r="S35" s="16"/>
      <c r="T35" cm="1">
        <f t="array" aca="1" ref="T3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1.0000014187268134</v>
      </c>
      <c r="U35" cm="1">
        <f t="array" aca="1" ref="U3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1.0000014187268134</v>
      </c>
      <c r="V35">
        <f ca="1">_xlfn.RANK.EQ(Games[[#This Row],[Sort]],Games[Sort],1)</f>
        <v>37</v>
      </c>
      <c r="W35" t="str">
        <f>IF(COUNT(Games[QuadRank])&gt;0,_xlfn.RANK.EQ(Games[[#This Row],[QuadSort]],Games[QuadSort],1),"")</f>
        <v/>
      </c>
      <c r="X35" s="5"/>
      <c r="Y35" s="5"/>
    </row>
    <row r="36" spans="2:25" x14ac:dyDescent="0.2">
      <c r="J36" s="7" t="str">
        <f>TEXT(Games[[#This Row],[Date]], "ddd")</f>
        <v>Sun</v>
      </c>
      <c r="K36" s="11">
        <v>46187</v>
      </c>
      <c r="L36" s="9">
        <v>0.56597222222222221</v>
      </c>
      <c r="M36" t="s">
        <v>49</v>
      </c>
      <c r="N36" t="s">
        <v>15</v>
      </c>
      <c r="O36" s="15">
        <f>_xlfn.XLOOKUP(Games[[#This Row],[Type]],Types[Type],Types[Price])</f>
        <v>75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$75.00 (4)</v>
      </c>
      <c r="R36" s="12"/>
      <c r="S36" s="16"/>
      <c r="T36" cm="1">
        <f t="array" aca="1" ref="T3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1.0000014773699972</v>
      </c>
      <c r="U36" cm="1">
        <f t="array" aca="1" ref="U3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1.0000014773699972</v>
      </c>
      <c r="V36">
        <f ca="1">_xlfn.RANK.EQ(Games[[#This Row],[Sort]],Games[Sort],1)</f>
        <v>42</v>
      </c>
      <c r="W36" t="str">
        <f>IF(COUNT(Games[QuadRank])&gt;0,_xlfn.RANK.EQ(Games[[#This Row],[QuadSort]],Games[QuadSort],1),"")</f>
        <v/>
      </c>
      <c r="X36" s="5"/>
      <c r="Y36" s="5"/>
    </row>
    <row r="37" spans="2:25" x14ac:dyDescent="0.2">
      <c r="J37" s="7" t="str">
        <f>TEXT(Games[[#This Row],[Date]], "ddd")</f>
        <v>Mon</v>
      </c>
      <c r="K37" s="11">
        <v>46188</v>
      </c>
      <c r="L37" s="9">
        <v>0.78125</v>
      </c>
      <c r="M37" t="s">
        <v>50</v>
      </c>
      <c r="N37" t="s">
        <v>15</v>
      </c>
      <c r="O37" s="15">
        <f>_xlfn.XLOOKUP(Games[[#This Row],[Type]],Types[Type],Types[Price])</f>
        <v>75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$75.00 (4)</v>
      </c>
      <c r="R37" s="12"/>
      <c r="S37" s="16"/>
      <c r="T37" cm="1">
        <f t="array" aca="1" ref="T3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1.0000014685291574</v>
      </c>
      <c r="U37" cm="1">
        <f t="array" aca="1" ref="U3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1.0000014685291574</v>
      </c>
      <c r="V37">
        <f ca="1">_xlfn.RANK.EQ(Games[[#This Row],[Sort]],Games[Sort],1)</f>
        <v>41</v>
      </c>
      <c r="W37" t="str">
        <f>IF(COUNT(Games[QuadRank])&gt;0,_xlfn.RANK.EQ(Games[[#This Row],[QuadSort]],Games[QuadSort],1),"")</f>
        <v/>
      </c>
      <c r="X37" s="5"/>
      <c r="Y37" s="5"/>
    </row>
    <row r="38" spans="2:25" x14ac:dyDescent="0.2">
      <c r="J38" s="7" t="str">
        <f>TEXT(Games[[#This Row],[Date]], "ddd")</f>
        <v>Tue</v>
      </c>
      <c r="K38" s="11">
        <v>46189</v>
      </c>
      <c r="L38" s="9">
        <v>0.78125</v>
      </c>
      <c r="M38" t="s">
        <v>50</v>
      </c>
      <c r="N38" t="s">
        <v>15</v>
      </c>
      <c r="O38" s="15">
        <f>_xlfn.XLOOKUP(Games[[#This Row],[Type]],Types[Type],Types[Price])</f>
        <v>75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$75.00 (4)</v>
      </c>
      <c r="R38" s="12"/>
      <c r="S38" s="16"/>
      <c r="T38" cm="1">
        <f t="array" aca="1" ref="T3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1.0000023320258111</v>
      </c>
      <c r="U38" cm="1">
        <f t="array" aca="1" ref="U3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1.0000023320258111</v>
      </c>
      <c r="V38">
        <f ca="1">_xlfn.RANK.EQ(Games[[#This Row],[Sort]],Games[Sort],1)</f>
        <v>62</v>
      </c>
      <c r="W38" t="str">
        <f>IF(COUNT(Games[QuadRank])&gt;0,_xlfn.RANK.EQ(Games[[#This Row],[QuadSort]],Games[QuadSort],1),"")</f>
        <v/>
      </c>
      <c r="X38" s="5"/>
      <c r="Y38" s="5"/>
    </row>
    <row r="39" spans="2:25" x14ac:dyDescent="0.2">
      <c r="B39" s="13" t="b">
        <v>0</v>
      </c>
      <c r="C39" t="s">
        <v>5</v>
      </c>
      <c r="D39" s="14"/>
      <c r="E39" t="s">
        <v>6</v>
      </c>
      <c r="J39" s="7" t="str">
        <f>TEXT(Games[[#This Row],[Date]], "ddd")</f>
        <v>Wed</v>
      </c>
      <c r="K39" s="11">
        <v>46190</v>
      </c>
      <c r="L39" s="9">
        <v>0.54513888888888895</v>
      </c>
      <c r="M39" t="s">
        <v>50</v>
      </c>
      <c r="N39" t="s">
        <v>15</v>
      </c>
      <c r="O39" s="15">
        <f>_xlfn.XLOOKUP(Games[[#This Row],[Type]],Types[Type],Types[Price])</f>
        <v>75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$75.00 (4)</v>
      </c>
      <c r="R39" s="12"/>
      <c r="S39" s="16"/>
      <c r="T39" cm="1">
        <f t="array" aca="1" ref="T3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1.0000015688636443</v>
      </c>
      <c r="U39" cm="1">
        <f t="array" aca="1" ref="U3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1.0000015688636443</v>
      </c>
      <c r="V39">
        <f ca="1">_xlfn.RANK.EQ(Games[[#This Row],[Sort]],Games[Sort],1)</f>
        <v>47</v>
      </c>
      <c r="W39" t="str">
        <f>IF(COUNT(Games[QuadRank])&gt;0,_xlfn.RANK.EQ(Games[[#This Row],[QuadSort]],Games[QuadSort],1),"")</f>
        <v/>
      </c>
      <c r="X39" s="5"/>
      <c r="Y39" s="5"/>
    </row>
    <row r="40" spans="2:25" x14ac:dyDescent="0.2">
      <c r="B40" s="13" t="b">
        <v>0</v>
      </c>
      <c r="C40" t="s">
        <v>7</v>
      </c>
      <c r="D40" s="14"/>
      <c r="E40" t="s">
        <v>6</v>
      </c>
      <c r="J40" s="7" t="str">
        <f>TEXT(Games[[#This Row],[Date]], "ddd")</f>
        <v>Mon</v>
      </c>
      <c r="K40" s="11">
        <v>46195</v>
      </c>
      <c r="L40" s="9">
        <v>0.78125</v>
      </c>
      <c r="M40" t="s">
        <v>51</v>
      </c>
      <c r="N40" t="s">
        <v>15</v>
      </c>
      <c r="O40" s="15">
        <f>_xlfn.XLOOKUP(Games[[#This Row],[Type]],Types[Type],Types[Price])</f>
        <v>75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$75.00 (4)</v>
      </c>
      <c r="R40" s="12"/>
      <c r="S40" s="16"/>
      <c r="T40" cm="1">
        <f t="array" aca="1" ref="T4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1.0000027158945206</v>
      </c>
      <c r="U40" cm="1">
        <f t="array" aca="1" ref="U4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1.0000027158945206</v>
      </c>
      <c r="V40">
        <f ca="1">_xlfn.RANK.EQ(Games[[#This Row],[Sort]],Games[Sort],1)</f>
        <v>81</v>
      </c>
      <c r="W40" t="str">
        <f>IF(COUNT(Games[QuadRank])&gt;0,_xlfn.RANK.EQ(Games[[#This Row],[QuadSort]],Games[QuadSort],1),"")</f>
        <v/>
      </c>
      <c r="X40" s="5"/>
      <c r="Y40" s="5"/>
    </row>
    <row r="41" spans="2:25" x14ac:dyDescent="0.2">
      <c r="B41" s="13" t="b">
        <v>0</v>
      </c>
      <c r="C41" t="s">
        <v>5</v>
      </c>
      <c r="D41" s="14"/>
      <c r="E41" t="s">
        <v>12</v>
      </c>
      <c r="J41" s="7" t="str">
        <f>TEXT(Games[[#This Row],[Date]], "ddd")</f>
        <v>Tue</v>
      </c>
      <c r="K41" s="11">
        <v>46196</v>
      </c>
      <c r="L41" s="9">
        <v>0.78125</v>
      </c>
      <c r="M41" t="s">
        <v>51</v>
      </c>
      <c r="N41" t="s">
        <v>15</v>
      </c>
      <c r="O41" s="15">
        <f>_xlfn.XLOOKUP(Games[[#This Row],[Type]],Types[Type],Types[Price])</f>
        <v>75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$75.00 (4)</v>
      </c>
      <c r="R41" s="12"/>
      <c r="S41" s="16"/>
      <c r="T41" cm="1">
        <f t="array" aca="1" ref="T4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1.0000008396651467</v>
      </c>
      <c r="U41" cm="1">
        <f t="array" aca="1" ref="U4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1.0000008396651467</v>
      </c>
      <c r="V41">
        <f ca="1">_xlfn.RANK.EQ(Games[[#This Row],[Sort]],Games[Sort],1)</f>
        <v>22</v>
      </c>
      <c r="W41" t="str">
        <f>IF(COUNT(Games[QuadRank])&gt;0,_xlfn.RANK.EQ(Games[[#This Row],[QuadSort]],Games[QuadSort],1),"")</f>
        <v/>
      </c>
      <c r="X41" s="5"/>
      <c r="Y41" s="5"/>
    </row>
    <row r="42" spans="2:25" x14ac:dyDescent="0.2">
      <c r="B42" s="13" t="b">
        <v>0</v>
      </c>
      <c r="C42" t="s">
        <v>7</v>
      </c>
      <c r="D42" s="14"/>
      <c r="E42" t="s">
        <v>12</v>
      </c>
      <c r="J42" s="7" t="str">
        <f>TEXT(Games[[#This Row],[Date]], "ddd")</f>
        <v>Wed</v>
      </c>
      <c r="K42" s="11">
        <v>46197</v>
      </c>
      <c r="L42" s="9">
        <v>0.78125</v>
      </c>
      <c r="M42" t="s">
        <v>51</v>
      </c>
      <c r="N42" t="s">
        <v>15</v>
      </c>
      <c r="O42" s="15">
        <f>_xlfn.XLOOKUP(Games[[#This Row],[Type]],Types[Type],Types[Price])</f>
        <v>75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$75.00 (4)</v>
      </c>
      <c r="R42" s="12"/>
      <c r="S42" s="16"/>
      <c r="T42" cm="1">
        <f t="array" aca="1" ref="T4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1.0000017031618005</v>
      </c>
      <c r="U42" cm="1">
        <f t="array" aca="1" ref="U4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1.0000017031618005</v>
      </c>
      <c r="V42">
        <f ca="1">_xlfn.RANK.EQ(Games[[#This Row],[Sort]],Games[Sort],1)</f>
        <v>51</v>
      </c>
      <c r="W42" t="str">
        <f>IF(COUNT(Games[QuadRank])&gt;0,_xlfn.RANK.EQ(Games[[#This Row],[QuadSort]],Games[QuadSort],1),"")</f>
        <v/>
      </c>
      <c r="X42" s="5"/>
      <c r="Y42" s="5"/>
    </row>
    <row r="43" spans="2:25" x14ac:dyDescent="0.2">
      <c r="B43" s="13" t="b">
        <v>0</v>
      </c>
      <c r="C43" t="s">
        <v>5</v>
      </c>
      <c r="D43" s="14"/>
      <c r="E43" t="s">
        <v>13</v>
      </c>
      <c r="J43" s="7" t="str">
        <f>TEXT(Games[[#This Row],[Date]], "ddd")</f>
        <v>Thu</v>
      </c>
      <c r="K43" s="11">
        <v>46198</v>
      </c>
      <c r="L43" s="9">
        <v>0.78125</v>
      </c>
      <c r="M43" t="s">
        <v>51</v>
      </c>
      <c r="N43" t="s">
        <v>15</v>
      </c>
      <c r="O43" s="15">
        <f>_xlfn.XLOOKUP(Games[[#This Row],[Type]],Types[Type],Types[Price])</f>
        <v>75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$75.00 (4)</v>
      </c>
      <c r="R43" s="12"/>
      <c r="S43" s="16"/>
      <c r="T43" cm="1">
        <f t="array" aca="1" ref="T4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1.0000025666584542</v>
      </c>
      <c r="U43" cm="1">
        <f t="array" aca="1" ref="U4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1.0000025666584542</v>
      </c>
      <c r="V43">
        <f ca="1">_xlfn.RANK.EQ(Games[[#This Row],[Sort]],Games[Sort],1)</f>
        <v>74</v>
      </c>
      <c r="W43" t="str">
        <f>IF(COUNT(Games[QuadRank])&gt;0,_xlfn.RANK.EQ(Games[[#This Row],[QuadSort]],Games[QuadSort],1),"")</f>
        <v/>
      </c>
      <c r="X43" s="5"/>
      <c r="Y43" s="5"/>
    </row>
    <row r="44" spans="2:25" x14ac:dyDescent="0.2">
      <c r="B44" s="13" t="b">
        <v>0</v>
      </c>
      <c r="C44" t="s">
        <v>7</v>
      </c>
      <c r="D44" s="14"/>
      <c r="E44" t="s">
        <v>13</v>
      </c>
      <c r="J44" s="7" t="str">
        <f>TEXT(Games[[#This Row],[Date]], "ddd")</f>
        <v>Fri</v>
      </c>
      <c r="K44" s="11">
        <v>46206</v>
      </c>
      <c r="L44" s="9">
        <v>0.78125</v>
      </c>
      <c r="M44" t="s">
        <v>52</v>
      </c>
      <c r="N44" t="s">
        <v>15</v>
      </c>
      <c r="O44" s="15">
        <f>_xlfn.XLOOKUP(Games[[#This Row],[Type]],Types[Type],Types[Price])</f>
        <v>75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$75.00 (4)</v>
      </c>
      <c r="R44" s="12"/>
      <c r="S44" s="16"/>
      <c r="T44" cm="1">
        <f t="array" aca="1" ref="T4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1.0000025372340229</v>
      </c>
      <c r="U44" cm="1">
        <f t="array" aca="1" ref="U4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1.0000025372340229</v>
      </c>
      <c r="V44">
        <f ca="1">_xlfn.RANK.EQ(Games[[#This Row],[Sort]],Games[Sort],1)</f>
        <v>71</v>
      </c>
      <c r="W44" t="str">
        <f>IF(COUNT(Games[QuadRank])&gt;0,_xlfn.RANK.EQ(Games[[#This Row],[QuadSort]],Games[QuadSort],1),"")</f>
        <v/>
      </c>
      <c r="X44" s="5"/>
      <c r="Y44" s="5"/>
    </row>
    <row r="45" spans="2:25" x14ac:dyDescent="0.2">
      <c r="B45" s="13" t="b">
        <v>0</v>
      </c>
      <c r="C45" t="s">
        <v>5</v>
      </c>
      <c r="D45" s="14"/>
      <c r="E45" t="s">
        <v>8</v>
      </c>
      <c r="J45" s="7" t="str">
        <f>TEXT(Games[[#This Row],[Date]], "ddd")</f>
        <v>Sat</v>
      </c>
      <c r="K45" s="11">
        <v>46207</v>
      </c>
      <c r="L45" s="9">
        <v>0.46180555555555558</v>
      </c>
      <c r="M45" t="s">
        <v>52</v>
      </c>
      <c r="N45" t="s">
        <v>15</v>
      </c>
      <c r="O45" s="15">
        <f>_xlfn.XLOOKUP(Games[[#This Row],[Type]],Types[Type],Types[Price])</f>
        <v>75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$75.00 (4)</v>
      </c>
      <c r="R45" s="12"/>
      <c r="S45" s="16"/>
      <c r="T45" cm="1">
        <f t="array" aca="1" ref="T4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1.0000014443605545</v>
      </c>
      <c r="U45" cm="1">
        <f t="array" aca="1" ref="U4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1.0000014443605545</v>
      </c>
      <c r="V45">
        <f ca="1">_xlfn.RANK.EQ(Games[[#This Row],[Sort]],Games[Sort],1)</f>
        <v>38</v>
      </c>
      <c r="W45" t="str">
        <f>IF(COUNT(Games[QuadRank])&gt;0,_xlfn.RANK.EQ(Games[[#This Row],[QuadSort]],Games[QuadSort],1),"")</f>
        <v/>
      </c>
      <c r="X45" s="5"/>
      <c r="Y45" s="5"/>
    </row>
    <row r="46" spans="2:25" x14ac:dyDescent="0.2">
      <c r="B46" s="13" t="b">
        <v>0</v>
      </c>
      <c r="C46" t="s">
        <v>7</v>
      </c>
      <c r="D46" s="14"/>
      <c r="E46" t="s">
        <v>8</v>
      </c>
      <c r="J46" s="7" t="str">
        <f>TEXT(Games[[#This Row],[Date]], "ddd")</f>
        <v>Sun</v>
      </c>
      <c r="K46" s="11">
        <v>46208</v>
      </c>
      <c r="L46" s="9">
        <v>0.56597222222222221</v>
      </c>
      <c r="M46" t="s">
        <v>52</v>
      </c>
      <c r="N46" t="s">
        <v>15</v>
      </c>
      <c r="O46" s="15">
        <f>_xlfn.XLOOKUP(Games[[#This Row],[Type]],Types[Type],Types[Price])</f>
        <v>75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$75.00 (4)</v>
      </c>
      <c r="R46" s="12"/>
      <c r="S46" s="16"/>
      <c r="T46" cm="1">
        <f t="array" aca="1" ref="T4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1.0000016794752182</v>
      </c>
      <c r="U46" cm="1">
        <f t="array" aca="1" ref="U4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1.0000016794752182</v>
      </c>
      <c r="V46">
        <f ca="1">_xlfn.RANK.EQ(Games[[#This Row],[Sort]],Games[Sort],1)</f>
        <v>49</v>
      </c>
      <c r="W46" t="str">
        <f>IF(COUNT(Games[QuadRank])&gt;0,_xlfn.RANK.EQ(Games[[#This Row],[QuadSort]],Games[QuadSort],1),"")</f>
        <v/>
      </c>
      <c r="X46" s="5"/>
      <c r="Y46" s="5"/>
    </row>
    <row r="47" spans="2:25" x14ac:dyDescent="0.2">
      <c r="B47" s="13" t="b">
        <v>0</v>
      </c>
      <c r="C47" t="s">
        <v>5</v>
      </c>
      <c r="D47" s="14"/>
      <c r="E47" t="s">
        <v>10</v>
      </c>
      <c r="J47" s="7" t="str">
        <f>TEXT(Games[[#This Row],[Date]], "ddd")</f>
        <v>Mon</v>
      </c>
      <c r="K47" s="11">
        <v>46209</v>
      </c>
      <c r="L47" s="9">
        <v>0.78125</v>
      </c>
      <c r="M47" t="s">
        <v>53</v>
      </c>
      <c r="N47" t="s">
        <v>15</v>
      </c>
      <c r="O47" s="15">
        <f>_xlfn.XLOOKUP(Games[[#This Row],[Type]],Types[Type],Types[Price])</f>
        <v>75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$75.00 (4)</v>
      </c>
      <c r="R47" s="12"/>
      <c r="S47" s="16"/>
      <c r="T47" cm="1">
        <f t="array" aca="1" ref="T4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1.0000023879979565</v>
      </c>
      <c r="U47" cm="1">
        <f t="array" aca="1" ref="U4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1.0000023879979565</v>
      </c>
      <c r="V47">
        <f ca="1">_xlfn.RANK.EQ(Games[[#This Row],[Sort]],Games[Sort],1)</f>
        <v>65</v>
      </c>
      <c r="W47" t="str">
        <f>IF(COUNT(Games[QuadRank])&gt;0,_xlfn.RANK.EQ(Games[[#This Row],[QuadSort]],Games[QuadSort],1),"")</f>
        <v/>
      </c>
      <c r="X47" s="5"/>
      <c r="Y47" s="5"/>
    </row>
    <row r="48" spans="2:25" x14ac:dyDescent="0.2">
      <c r="B48" s="13" t="b">
        <v>0</v>
      </c>
      <c r="C48" t="s">
        <v>7</v>
      </c>
      <c r="D48" s="14"/>
      <c r="E48" t="s">
        <v>10</v>
      </c>
      <c r="J48" s="7" t="str">
        <f>TEXT(Games[[#This Row],[Date]], "ddd")</f>
        <v>Tue</v>
      </c>
      <c r="K48" s="11">
        <v>46210</v>
      </c>
      <c r="L48" s="9">
        <v>0.78125</v>
      </c>
      <c r="M48" t="s">
        <v>53</v>
      </c>
      <c r="N48" t="s">
        <v>15</v>
      </c>
      <c r="O48" s="15">
        <f>_xlfn.XLOOKUP(Games[[#This Row],[Type]],Types[Type],Types[Price])</f>
        <v>75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$75.00 (4)</v>
      </c>
      <c r="R48" s="12"/>
      <c r="S48" s="16"/>
      <c r="T48" cm="1">
        <f t="array" aca="1" ref="T4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1.0000011941094251</v>
      </c>
      <c r="U48" cm="1">
        <f t="array" aca="1" ref="U4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1.0000011941094251</v>
      </c>
      <c r="V48">
        <f ca="1">_xlfn.RANK.EQ(Games[[#This Row],[Sort]],Games[Sort],1)</f>
        <v>30</v>
      </c>
      <c r="W48" t="str">
        <f>IF(COUNT(Games[QuadRank])&gt;0,_xlfn.RANK.EQ(Games[[#This Row],[QuadSort]],Games[QuadSort],1),"")</f>
        <v/>
      </c>
      <c r="X48" s="5"/>
      <c r="Y48" s="5"/>
    </row>
    <row r="49" spans="2:25" x14ac:dyDescent="0.2">
      <c r="B49" s="13" t="b">
        <v>0</v>
      </c>
      <c r="C49" t="s">
        <v>5</v>
      </c>
      <c r="D49" s="14"/>
      <c r="E49" t="s">
        <v>11</v>
      </c>
      <c r="J49" s="7" t="str">
        <f>TEXT(Games[[#This Row],[Date]], "ddd")</f>
        <v>Wed</v>
      </c>
      <c r="K49" s="11">
        <v>46211</v>
      </c>
      <c r="L49" s="9">
        <v>0.78125</v>
      </c>
      <c r="M49" t="s">
        <v>53</v>
      </c>
      <c r="N49" t="s">
        <v>15</v>
      </c>
      <c r="O49" s="15">
        <f>_xlfn.XLOOKUP(Games[[#This Row],[Type]],Types[Type],Types[Price])</f>
        <v>75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$75.00 (4)</v>
      </c>
      <c r="R49" s="12"/>
      <c r="S49" s="16"/>
      <c r="T49" cm="1">
        <f t="array" aca="1" ref="T4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1.0000020576060789</v>
      </c>
      <c r="U49" cm="1">
        <f t="array" aca="1" ref="U4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1.0000020576060789</v>
      </c>
      <c r="V49">
        <f ca="1">_xlfn.RANK.EQ(Games[[#This Row],[Sort]],Games[Sort],1)</f>
        <v>57</v>
      </c>
      <c r="W49" t="str">
        <f>IF(COUNT(Games[QuadRank])&gt;0,_xlfn.RANK.EQ(Games[[#This Row],[QuadSort]],Games[QuadSort],1),"")</f>
        <v/>
      </c>
      <c r="X49" s="5"/>
      <c r="Y49" s="5"/>
    </row>
    <row r="50" spans="2:25" x14ac:dyDescent="0.2">
      <c r="B50" s="13" t="b">
        <v>0</v>
      </c>
      <c r="C50" t="s">
        <v>7</v>
      </c>
      <c r="D50" s="14"/>
      <c r="E50" t="s">
        <v>11</v>
      </c>
      <c r="J50" s="7" t="str">
        <f>TEXT(Games[[#This Row],[Date]], "ddd")</f>
        <v>Fri</v>
      </c>
      <c r="K50" s="11">
        <v>46213</v>
      </c>
      <c r="L50" s="9">
        <v>0.78125</v>
      </c>
      <c r="M50" t="s">
        <v>54</v>
      </c>
      <c r="N50" t="s">
        <v>15</v>
      </c>
      <c r="O50" s="15">
        <f>_xlfn.XLOOKUP(Games[[#This Row],[Type]],Types[Type],Types[Price])</f>
        <v>75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$75.00 (4)</v>
      </c>
      <c r="R50" s="12"/>
      <c r="S50" s="16"/>
      <c r="T50" cm="1">
        <f t="array" aca="1" ref="T5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1.0000010448733587</v>
      </c>
      <c r="U50" cm="1">
        <f t="array" aca="1" ref="U5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1.0000010448733587</v>
      </c>
      <c r="V50">
        <f ca="1">_xlfn.RANK.EQ(Games[[#This Row],[Sort]],Games[Sort],1)</f>
        <v>25</v>
      </c>
      <c r="W50" t="str">
        <f>IF(COUNT(Games[QuadRank])&gt;0,_xlfn.RANK.EQ(Games[[#This Row],[QuadSort]],Games[QuadSort],1),"")</f>
        <v/>
      </c>
      <c r="X50" s="5"/>
      <c r="Y50" s="5"/>
    </row>
    <row r="51" spans="2:25" x14ac:dyDescent="0.2">
      <c r="B51" s="13" t="b">
        <v>0</v>
      </c>
      <c r="C51" t="s">
        <v>7</v>
      </c>
      <c r="D51" s="14"/>
      <c r="E51" t="s">
        <v>9</v>
      </c>
      <c r="J51" s="7" t="str">
        <f>TEXT(Games[[#This Row],[Date]], "ddd")</f>
        <v>Sat</v>
      </c>
      <c r="K51" s="11">
        <v>46214</v>
      </c>
      <c r="L51" s="9">
        <v>0.67013888888888884</v>
      </c>
      <c r="M51" t="s">
        <v>54</v>
      </c>
      <c r="N51" t="s">
        <v>15</v>
      </c>
      <c r="O51" s="15">
        <f>_xlfn.XLOOKUP(Games[[#This Row],[Type]],Types[Type],Types[Price])</f>
        <v>75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$75.00 (4)</v>
      </c>
      <c r="R51" s="12"/>
      <c r="S51" s="16"/>
      <c r="T51" cm="1">
        <f t="array" aca="1" ref="T5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1.0000010775737247</v>
      </c>
      <c r="U51" cm="1">
        <f t="array" aca="1" ref="U5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1.0000010775737247</v>
      </c>
      <c r="V51">
        <f ca="1">_xlfn.RANK.EQ(Games[[#This Row],[Sort]],Games[Sort],1)</f>
        <v>26</v>
      </c>
      <c r="W51" t="str">
        <f>IF(COUNT(Games[QuadRank])&gt;0,_xlfn.RANK.EQ(Games[[#This Row],[QuadSort]],Games[QuadSort],1),"")</f>
        <v/>
      </c>
      <c r="X51" s="5"/>
      <c r="Y51" s="5"/>
    </row>
    <row r="52" spans="2:25" x14ac:dyDescent="0.2">
      <c r="B52" s="13" t="b">
        <v>0</v>
      </c>
      <c r="C52" t="s">
        <v>7</v>
      </c>
      <c r="D52" s="14"/>
      <c r="E52" t="s">
        <v>14</v>
      </c>
      <c r="J52" s="7" t="str">
        <f>TEXT(Games[[#This Row],[Date]], "ddd")</f>
        <v>Sun</v>
      </c>
      <c r="K52" s="11">
        <v>46215</v>
      </c>
      <c r="L52" s="9">
        <v>0.56597222222222221</v>
      </c>
      <c r="M52" t="s">
        <v>54</v>
      </c>
      <c r="N52" t="s">
        <v>15</v>
      </c>
      <c r="O52" s="15">
        <f>_xlfn.XLOOKUP(Games[[#This Row],[Type]],Types[Type],Types[Price])</f>
        <v>75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$75.00 (4)</v>
      </c>
      <c r="R52" s="12"/>
      <c r="S52" s="16"/>
      <c r="T52" cm="1">
        <f t="array" aca="1" ref="T5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1.0000011362169086</v>
      </c>
      <c r="U52" cm="1">
        <f t="array" aca="1" ref="U5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1.0000011362169086</v>
      </c>
      <c r="V52">
        <f ca="1">_xlfn.RANK.EQ(Games[[#This Row],[Sort]],Games[Sort],1)</f>
        <v>28</v>
      </c>
      <c r="W52" t="str">
        <f>IF(COUNT(Games[QuadRank])&gt;0,_xlfn.RANK.EQ(Games[[#This Row],[QuadSort]],Games[QuadSort],1),"")</f>
        <v/>
      </c>
      <c r="X52" s="5"/>
      <c r="Y52" s="5"/>
    </row>
    <row r="53" spans="2:25" x14ac:dyDescent="0.2">
      <c r="J53" s="7" t="str">
        <f>TEXT(Games[[#This Row],[Date]], "ddd")</f>
        <v>Fri</v>
      </c>
      <c r="K53" s="11">
        <v>46227</v>
      </c>
      <c r="L53" s="9">
        <v>0.78125</v>
      </c>
      <c r="M53" t="s">
        <v>55</v>
      </c>
      <c r="N53" t="s">
        <v>15</v>
      </c>
      <c r="O53" s="15">
        <f>_xlfn.XLOOKUP(Games[[#This Row],[Type]],Types[Type],Types[Price])</f>
        <v>75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$75.00 (4)</v>
      </c>
      <c r="R53" s="12"/>
      <c r="S53" s="16"/>
      <c r="T53" cm="1">
        <f t="array" aca="1" ref="T5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1.0000001175372153</v>
      </c>
      <c r="U53" cm="1">
        <f t="array" aca="1" ref="U5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1.0000001175372153</v>
      </c>
      <c r="V53">
        <f ca="1">_xlfn.RANK.EQ(Games[[#This Row],[Sort]],Games[Sort],1)</f>
        <v>4</v>
      </c>
      <c r="W53" t="str">
        <f>IF(COUNT(Games[QuadRank])&gt;0,_xlfn.RANK.EQ(Games[[#This Row],[QuadSort]],Games[QuadSort],1),"")</f>
        <v/>
      </c>
      <c r="X53" s="5"/>
      <c r="Y53" s="5"/>
    </row>
    <row r="54" spans="2:25" x14ac:dyDescent="0.2">
      <c r="J54" s="7" t="str">
        <f>TEXT(Games[[#This Row],[Date]], "ddd")</f>
        <v>Sat</v>
      </c>
      <c r="K54" s="11">
        <v>46228</v>
      </c>
      <c r="L54" s="9">
        <v>0.67013888888888884</v>
      </c>
      <c r="M54" t="s">
        <v>55</v>
      </c>
      <c r="N54" t="s">
        <v>15</v>
      </c>
      <c r="O54" s="15">
        <f>_xlfn.XLOOKUP(Games[[#This Row],[Type]],Types[Type],Types[Price])</f>
        <v>75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$75.00 (4)</v>
      </c>
      <c r="R54" s="12"/>
      <c r="S54" s="16"/>
      <c r="T54" cm="1">
        <f t="array" aca="1" ref="T5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1.0000024166875627</v>
      </c>
      <c r="U54" cm="1">
        <f t="array" aca="1" ref="U5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1.0000024166875627</v>
      </c>
      <c r="V54">
        <f ca="1">_xlfn.RANK.EQ(Games[[#This Row],[Sort]],Games[Sort],1)</f>
        <v>68</v>
      </c>
      <c r="W54" t="str">
        <f>IF(COUNT(Games[QuadRank])&gt;0,_xlfn.RANK.EQ(Games[[#This Row],[QuadSort]],Games[QuadSort],1),"")</f>
        <v/>
      </c>
      <c r="X54" s="5"/>
      <c r="Y54" s="5"/>
    </row>
    <row r="55" spans="2:25" x14ac:dyDescent="0.2">
      <c r="J55" s="7" t="str">
        <f>TEXT(Games[[#This Row],[Date]], "ddd")</f>
        <v>Sun</v>
      </c>
      <c r="K55" s="11">
        <v>46229</v>
      </c>
      <c r="L55" s="9">
        <v>0.56597222222222221</v>
      </c>
      <c r="M55" t="s">
        <v>55</v>
      </c>
      <c r="N55" t="s">
        <v>15</v>
      </c>
      <c r="O55" s="15">
        <f>_xlfn.XLOOKUP(Games[[#This Row],[Type]],Types[Type],Types[Price])</f>
        <v>75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$75.00 (4)</v>
      </c>
      <c r="R55" s="12"/>
      <c r="S55" s="16"/>
      <c r="T55" cm="1">
        <f t="array" aca="1" ref="T5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1.0000024753307464</v>
      </c>
      <c r="U55" cm="1">
        <f t="array" aca="1" ref="U5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1.0000024753307464</v>
      </c>
      <c r="V55">
        <f ca="1">_xlfn.RANK.EQ(Games[[#This Row],[Sort]],Games[Sort],1)</f>
        <v>69</v>
      </c>
      <c r="W55" t="str">
        <f>IF(COUNT(Games[QuadRank])&gt;0,_xlfn.RANK.EQ(Games[[#This Row],[QuadSort]],Games[QuadSort],1),"")</f>
        <v/>
      </c>
      <c r="X55" s="5"/>
      <c r="Y55" s="5"/>
    </row>
    <row r="56" spans="2:25" x14ac:dyDescent="0.2">
      <c r="J56" s="7" t="str">
        <f>TEXT(Games[[#This Row],[Date]], "ddd")</f>
        <v>Mon</v>
      </c>
      <c r="K56" s="11">
        <v>46230</v>
      </c>
      <c r="L56" s="9">
        <v>0.78125</v>
      </c>
      <c r="M56" t="s">
        <v>56</v>
      </c>
      <c r="N56" t="s">
        <v>15</v>
      </c>
      <c r="O56" s="15">
        <f>_xlfn.XLOOKUP(Games[[#This Row],[Type]],Types[Type],Types[Price])</f>
        <v>75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$75.00 (4)</v>
      </c>
      <c r="R56" s="12"/>
      <c r="S56" s="16"/>
      <c r="T56" cm="1">
        <f t="array" aca="1" ref="T5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1.0000006506419914</v>
      </c>
      <c r="U56" cm="1">
        <f t="array" aca="1" ref="U5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1.0000006506419914</v>
      </c>
      <c r="V56">
        <f ca="1">_xlfn.RANK.EQ(Games[[#This Row],[Sort]],Games[Sort],1)</f>
        <v>16</v>
      </c>
      <c r="W56" t="str">
        <f>IF(COUNT(Games[QuadRank])&gt;0,_xlfn.RANK.EQ(Games[[#This Row],[QuadSort]],Games[QuadSort],1),"")</f>
        <v/>
      </c>
      <c r="X56" s="5"/>
      <c r="Y56" s="5"/>
    </row>
    <row r="57" spans="2:25" x14ac:dyDescent="0.2">
      <c r="J57" s="7" t="str">
        <f>TEXT(Games[[#This Row],[Date]], "ddd")</f>
        <v>Tue</v>
      </c>
      <c r="K57" s="11">
        <v>46231</v>
      </c>
      <c r="L57" s="9">
        <v>0.78125</v>
      </c>
      <c r="M57" t="s">
        <v>56</v>
      </c>
      <c r="N57" t="s">
        <v>15</v>
      </c>
      <c r="O57" s="15">
        <f>_xlfn.XLOOKUP(Games[[#This Row],[Type]],Types[Type],Types[Price])</f>
        <v>75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$75.00 (4)</v>
      </c>
      <c r="R57" s="12"/>
      <c r="S57" s="16"/>
      <c r="T57" cm="1">
        <f t="array" aca="1" ref="T5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1.0000015141386449</v>
      </c>
      <c r="U57" cm="1">
        <f t="array" aca="1" ref="U5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1.0000015141386449</v>
      </c>
      <c r="V57">
        <f ca="1">_xlfn.RANK.EQ(Games[[#This Row],[Sort]],Games[Sort],1)</f>
        <v>43</v>
      </c>
      <c r="W57" t="str">
        <f>IF(COUNT(Games[QuadRank])&gt;0,_xlfn.RANK.EQ(Games[[#This Row],[QuadSort]],Games[QuadSort],1),"")</f>
        <v/>
      </c>
      <c r="X57" s="5"/>
      <c r="Y57" s="5"/>
    </row>
    <row r="58" spans="2:25" x14ac:dyDescent="0.2">
      <c r="J58" s="7" t="str">
        <f>TEXT(Games[[#This Row],[Date]], "ddd")</f>
        <v>Wed</v>
      </c>
      <c r="K58" s="11">
        <v>46232</v>
      </c>
      <c r="L58" s="9">
        <v>0.54513888888888895</v>
      </c>
      <c r="M58" t="s">
        <v>56</v>
      </c>
      <c r="N58" t="s">
        <v>15</v>
      </c>
      <c r="O58" s="15">
        <f>_xlfn.XLOOKUP(Games[[#This Row],[Type]],Types[Type],Types[Price])</f>
        <v>75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$75.00 (4)</v>
      </c>
      <c r="R58" s="12"/>
      <c r="S58" s="16"/>
      <c r="T58" cm="1">
        <f t="array" aca="1" ref="T5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1.0000025668243935</v>
      </c>
      <c r="U58" cm="1">
        <f t="array" aca="1" ref="U5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1.0000025668243935</v>
      </c>
      <c r="V58">
        <f ca="1">_xlfn.RANK.EQ(Games[[#This Row],[Sort]],Games[Sort],1)</f>
        <v>76</v>
      </c>
      <c r="W58" t="str">
        <f>IF(COUNT(Games[QuadRank])&gt;0,_xlfn.RANK.EQ(Games[[#This Row],[QuadSort]],Games[QuadSort],1),"")</f>
        <v/>
      </c>
      <c r="X58" s="5"/>
      <c r="Y58" s="5"/>
    </row>
    <row r="59" spans="2:25" x14ac:dyDescent="0.2">
      <c r="J59" s="7" t="str">
        <f>TEXT(Games[[#This Row],[Date]], "ddd")</f>
        <v>Fri</v>
      </c>
      <c r="K59" s="11">
        <v>46241</v>
      </c>
      <c r="L59" s="9">
        <v>0.78125</v>
      </c>
      <c r="M59" t="s">
        <v>57</v>
      </c>
      <c r="N59" t="s">
        <v>15</v>
      </c>
      <c r="O59" s="15">
        <f>_xlfn.XLOOKUP(Games[[#This Row],[Type]],Types[Type],Types[Price])</f>
        <v>75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$75.00 (4)</v>
      </c>
      <c r="R59" s="12"/>
      <c r="S59" s="16"/>
      <c r="T59" cm="1">
        <f t="array" aca="1" ref="T5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1.0000026122679417</v>
      </c>
      <c r="U59" cm="1">
        <f t="array" aca="1" ref="U5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1.0000026122679417</v>
      </c>
      <c r="V59">
        <f ca="1">_xlfn.RANK.EQ(Games[[#This Row],[Sort]],Games[Sort],1)</f>
        <v>77</v>
      </c>
      <c r="W59" t="str">
        <f>IF(COUNT(Games[QuadRank])&gt;0,_xlfn.RANK.EQ(Games[[#This Row],[QuadSort]],Games[QuadSort],1),"")</f>
        <v/>
      </c>
      <c r="X59" s="5"/>
      <c r="Y59" s="5"/>
    </row>
    <row r="60" spans="2:25" x14ac:dyDescent="0.2">
      <c r="J60" s="7" t="str">
        <f>TEXT(Games[[#This Row],[Date]], "ddd")</f>
        <v>Sat</v>
      </c>
      <c r="K60" s="11">
        <v>46242</v>
      </c>
      <c r="L60" s="9">
        <v>0.78125</v>
      </c>
      <c r="M60" t="s">
        <v>57</v>
      </c>
      <c r="N60" t="s">
        <v>15</v>
      </c>
      <c r="O60" s="15">
        <f>_xlfn.XLOOKUP(Games[[#This Row],[Type]],Types[Type],Types[Price])</f>
        <v>75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$75.00 (4)</v>
      </c>
      <c r="R60" s="12"/>
      <c r="S60" s="16"/>
      <c r="T60" cm="1">
        <f t="array" aca="1" ref="T6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1.0000007360385679</v>
      </c>
      <c r="U60" cm="1">
        <f t="array" aca="1" ref="U6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1.0000007360385679</v>
      </c>
      <c r="V60">
        <f ca="1">_xlfn.RANK.EQ(Games[[#This Row],[Sort]],Games[Sort],1)</f>
        <v>19</v>
      </c>
      <c r="W60" t="str">
        <f>IF(COUNT(Games[QuadRank])&gt;0,_xlfn.RANK.EQ(Games[[#This Row],[QuadSort]],Games[QuadSort],1),"")</f>
        <v/>
      </c>
      <c r="X60" s="5"/>
      <c r="Y60" s="5"/>
    </row>
    <row r="61" spans="2:25" x14ac:dyDescent="0.2">
      <c r="J61" s="7" t="str">
        <f>TEXT(Games[[#This Row],[Date]], "ddd")</f>
        <v>Sun</v>
      </c>
      <c r="K61" s="11">
        <v>46243</v>
      </c>
      <c r="L61" s="9">
        <v>0.56597222222222221</v>
      </c>
      <c r="M61" t="s">
        <v>57</v>
      </c>
      <c r="N61" t="s">
        <v>15</v>
      </c>
      <c r="O61" s="15">
        <f>_xlfn.XLOOKUP(Games[[#This Row],[Type]],Types[Type],Types[Price])</f>
        <v>75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$75.00 (4)</v>
      </c>
      <c r="R61" s="12"/>
      <c r="S61" s="16"/>
      <c r="T61" cm="1">
        <f t="array" aca="1" ref="T6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1.0000013888141268</v>
      </c>
      <c r="U61" cm="1">
        <f t="array" aca="1" ref="U6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1.0000013888141268</v>
      </c>
      <c r="V61">
        <f ca="1">_xlfn.RANK.EQ(Games[[#This Row],[Sort]],Games[Sort],1)</f>
        <v>36</v>
      </c>
      <c r="W61" t="str">
        <f>IF(COUNT(Games[QuadRank])&gt;0,_xlfn.RANK.EQ(Games[[#This Row],[QuadSort]],Games[QuadSort],1),"")</f>
        <v/>
      </c>
      <c r="X61" s="5"/>
      <c r="Y61" s="5"/>
    </row>
    <row r="62" spans="2:25" x14ac:dyDescent="0.2">
      <c r="J62" s="7" t="str">
        <f>TEXT(Games[[#This Row],[Date]], "ddd")</f>
        <v>Tue</v>
      </c>
      <c r="K62" s="11">
        <v>46245</v>
      </c>
      <c r="L62" s="9">
        <v>0.78125</v>
      </c>
      <c r="M62" t="s">
        <v>58</v>
      </c>
      <c r="N62" t="s">
        <v>15</v>
      </c>
      <c r="O62" s="15">
        <f>_xlfn.XLOOKUP(Games[[#This Row],[Type]],Types[Type],Types[Price])</f>
        <v>75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$75.00 (4)</v>
      </c>
      <c r="R62" s="12"/>
      <c r="S62" s="16"/>
      <c r="T62" cm="1">
        <f t="array" aca="1" ref="T6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1.0000005868025015</v>
      </c>
      <c r="U62" cm="1">
        <f t="array" aca="1" ref="U6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1.0000005868025015</v>
      </c>
      <c r="V62">
        <f ca="1">_xlfn.RANK.EQ(Games[[#This Row],[Sort]],Games[Sort],1)</f>
        <v>15</v>
      </c>
      <c r="W62" t="str">
        <f>IF(COUNT(Games[QuadRank])&gt;0,_xlfn.RANK.EQ(Games[[#This Row],[QuadSort]],Games[QuadSort],1),"")</f>
        <v/>
      </c>
      <c r="X62" s="5"/>
      <c r="Y62" s="5"/>
    </row>
    <row r="63" spans="2:25" x14ac:dyDescent="0.2">
      <c r="J63" s="7" t="str">
        <f>TEXT(Games[[#This Row],[Date]], "ddd")</f>
        <v>Wed</v>
      </c>
      <c r="K63" s="11">
        <v>46246</v>
      </c>
      <c r="L63" s="9">
        <v>0.78125</v>
      </c>
      <c r="M63" t="s">
        <v>58</v>
      </c>
      <c r="N63" t="s">
        <v>15</v>
      </c>
      <c r="O63" s="15">
        <f>_xlfn.XLOOKUP(Games[[#This Row],[Type]],Types[Type],Types[Price])</f>
        <v>75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$75.00 (4)</v>
      </c>
      <c r="R63" s="12"/>
      <c r="S63" s="16"/>
      <c r="T63" cm="1">
        <f t="array" aca="1" ref="T6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1.0000014502991552</v>
      </c>
      <c r="U63" cm="1">
        <f t="array" aca="1" ref="U6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1.0000014502991552</v>
      </c>
      <c r="V63">
        <f ca="1">_xlfn.RANK.EQ(Games[[#This Row],[Sort]],Games[Sort],1)</f>
        <v>40</v>
      </c>
      <c r="W63" t="str">
        <f>IF(COUNT(Games[QuadRank])&gt;0,_xlfn.RANK.EQ(Games[[#This Row],[QuadSort]],Games[QuadSort],1),"")</f>
        <v/>
      </c>
      <c r="X63" s="5"/>
      <c r="Y63" s="5"/>
    </row>
    <row r="64" spans="2:25" x14ac:dyDescent="0.2">
      <c r="J64" s="7" t="str">
        <f>TEXT(Games[[#This Row],[Date]], "ddd")</f>
        <v>Thu</v>
      </c>
      <c r="K64" s="11">
        <v>46247</v>
      </c>
      <c r="L64" s="9">
        <v>0.67013888888888884</v>
      </c>
      <c r="M64" t="s">
        <v>58</v>
      </c>
      <c r="N64" t="s">
        <v>15</v>
      </c>
      <c r="O64" s="15">
        <f>_xlfn.XLOOKUP(Games[[#This Row],[Type]],Types[Type],Types[Price])</f>
        <v>75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$75.00 (4)</v>
      </c>
      <c r="R64" s="12"/>
      <c r="S64" s="16"/>
      <c r="T64" cm="1">
        <f t="array" aca="1" ref="T6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1.0000003263858823</v>
      </c>
      <c r="U64" cm="1">
        <f t="array" aca="1" ref="U6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1.0000003263858823</v>
      </c>
      <c r="V64">
        <f ca="1">_xlfn.RANK.EQ(Games[[#This Row],[Sort]],Games[Sort],1)</f>
        <v>10</v>
      </c>
      <c r="W64" t="str">
        <f>IF(COUNT(Games[QuadRank])&gt;0,_xlfn.RANK.EQ(Games[[#This Row],[QuadSort]],Games[QuadSort],1),"")</f>
        <v/>
      </c>
      <c r="X64" s="5"/>
      <c r="Y64" s="5"/>
    </row>
    <row r="65" spans="10:25" x14ac:dyDescent="0.2">
      <c r="J65" s="7" t="str">
        <f>TEXT(Games[[#This Row],[Date]], "ddd")</f>
        <v>Mon</v>
      </c>
      <c r="K65" s="11">
        <v>46258</v>
      </c>
      <c r="L65" s="9">
        <v>0.78125</v>
      </c>
      <c r="M65" t="s">
        <v>59</v>
      </c>
      <c r="N65" t="s">
        <v>15</v>
      </c>
      <c r="O65" s="15">
        <f>_xlfn.XLOOKUP(Games[[#This Row],[Type]],Types[Type],Types[Price])</f>
        <v>75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$75.00 (4)</v>
      </c>
      <c r="R65" s="12"/>
      <c r="S65" s="16"/>
      <c r="T65" cm="1">
        <f t="array" aca="1" ref="T6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1.0000015356957319</v>
      </c>
      <c r="U65" cm="1">
        <f t="array" aca="1" ref="U6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1.0000015356957319</v>
      </c>
      <c r="V65">
        <f ca="1">_xlfn.RANK.EQ(Games[[#This Row],[Sort]],Games[Sort],1)</f>
        <v>46</v>
      </c>
      <c r="W65" t="str">
        <f>IF(COUNT(Games[QuadRank])&gt;0,_xlfn.RANK.EQ(Games[[#This Row],[QuadSort]],Games[QuadSort],1),"")</f>
        <v/>
      </c>
      <c r="X65" s="5"/>
      <c r="Y65" s="5"/>
    </row>
    <row r="66" spans="10:25" x14ac:dyDescent="0.2">
      <c r="J66" s="7" t="str">
        <f>TEXT(Games[[#This Row],[Date]], "ddd")</f>
        <v>Tue</v>
      </c>
      <c r="K66" s="11">
        <v>46259</v>
      </c>
      <c r="L66" s="9">
        <v>0.78125</v>
      </c>
      <c r="M66" t="s">
        <v>59</v>
      </c>
      <c r="N66" t="s">
        <v>15</v>
      </c>
      <c r="O66" s="15">
        <f>_xlfn.XLOOKUP(Games[[#This Row],[Type]],Types[Type],Types[Price])</f>
        <v>75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$75.00 (4)</v>
      </c>
      <c r="R66" s="12"/>
      <c r="S66" s="16"/>
      <c r="T66" cm="1">
        <f t="array" aca="1" ref="T6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1.0000023991923856</v>
      </c>
      <c r="U66" cm="1">
        <f t="array" aca="1" ref="U6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1.0000023991923856</v>
      </c>
      <c r="V66">
        <f ca="1">_xlfn.RANK.EQ(Games[[#This Row],[Sort]],Games[Sort],1)</f>
        <v>67</v>
      </c>
      <c r="W66" t="str">
        <f>IF(COUNT(Games[QuadRank])&gt;0,_xlfn.RANK.EQ(Games[[#This Row],[QuadSort]],Games[QuadSort],1),"")</f>
        <v/>
      </c>
      <c r="X66" s="5"/>
      <c r="Y66" s="5"/>
    </row>
    <row r="67" spans="10:25" x14ac:dyDescent="0.2">
      <c r="J67" s="7" t="str">
        <f>TEXT(Games[[#This Row],[Date]], "ddd")</f>
        <v>Wed</v>
      </c>
      <c r="K67" s="11">
        <v>46260</v>
      </c>
      <c r="L67" s="9">
        <v>0.78125</v>
      </c>
      <c r="M67" t="s">
        <v>59</v>
      </c>
      <c r="N67" t="s">
        <v>15</v>
      </c>
      <c r="O67" s="15">
        <f>_xlfn.XLOOKUP(Games[[#This Row],[Type]],Types[Type],Types[Price])</f>
        <v>75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$75.00 (4)</v>
      </c>
      <c r="R67" s="12"/>
      <c r="S67" s="16"/>
      <c r="T67" cm="1">
        <f t="array" aca="1" ref="T6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1.0000012053038543</v>
      </c>
      <c r="U67" cm="1">
        <f t="array" aca="1" ref="U6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1.0000012053038543</v>
      </c>
      <c r="V67">
        <f ca="1">_xlfn.RANK.EQ(Games[[#This Row],[Sort]],Games[Sort],1)</f>
        <v>31</v>
      </c>
      <c r="W67" t="str">
        <f>IF(COUNT(Games[QuadRank])&gt;0,_xlfn.RANK.EQ(Games[[#This Row],[QuadSort]],Games[QuadSort],1),"")</f>
        <v/>
      </c>
      <c r="X67" s="5"/>
      <c r="Y67" s="5"/>
    </row>
    <row r="68" spans="10:25" x14ac:dyDescent="0.2">
      <c r="J68" s="7" t="str">
        <f>TEXT(Games[[#This Row],[Date]], "ddd")</f>
        <v>Thu</v>
      </c>
      <c r="K68" s="11">
        <v>46261</v>
      </c>
      <c r="L68" s="9">
        <v>0.54513888888888895</v>
      </c>
      <c r="M68" t="s">
        <v>59</v>
      </c>
      <c r="N68" t="s">
        <v>15</v>
      </c>
      <c r="O68" s="15">
        <f>_xlfn.XLOOKUP(Games[[#This Row],[Type]],Types[Type],Types[Price])</f>
        <v>75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$75.00 (4)</v>
      </c>
      <c r="R68" s="12"/>
      <c r="S68" s="16"/>
      <c r="T68" cm="1">
        <f t="array" aca="1" ref="T6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1.0000015227741887</v>
      </c>
      <c r="U68" cm="1">
        <f t="array" aca="1" ref="U6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1.0000015227741887</v>
      </c>
      <c r="V68">
        <f ca="1">_xlfn.RANK.EQ(Games[[#This Row],[Sort]],Games[Sort],1)</f>
        <v>44</v>
      </c>
      <c r="W68" t="str">
        <f>IF(COUNT(Games[QuadRank])&gt;0,_xlfn.RANK.EQ(Games[[#This Row],[QuadSort]],Games[QuadSort],1),"")</f>
        <v/>
      </c>
      <c r="X68" s="5"/>
      <c r="Y68" s="5"/>
    </row>
    <row r="69" spans="10:25" x14ac:dyDescent="0.2">
      <c r="J69" s="7" t="str">
        <f>TEXT(Games[[#This Row],[Date]], "ddd")</f>
        <v>Fri</v>
      </c>
      <c r="K69" s="11">
        <v>46262</v>
      </c>
      <c r="L69" s="9">
        <v>0.78125</v>
      </c>
      <c r="M69" t="s">
        <v>48</v>
      </c>
      <c r="N69" t="s">
        <v>15</v>
      </c>
      <c r="O69" s="15">
        <f>_xlfn.XLOOKUP(Games[[#This Row],[Type]],Types[Type],Types[Price])</f>
        <v>75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$75.00 (4)</v>
      </c>
      <c r="R69" s="12"/>
      <c r="S69" s="16"/>
      <c r="T69" cm="1">
        <f t="array" aca="1" ref="T6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1.0000001925711341</v>
      </c>
      <c r="U69" cm="1">
        <f t="array" aca="1" ref="U6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1.0000001925711341</v>
      </c>
      <c r="V69">
        <f ca="1">_xlfn.RANK.EQ(Games[[#This Row],[Sort]],Games[Sort],1)</f>
        <v>8</v>
      </c>
      <c r="W69" t="str">
        <f>IF(COUNT(Games[QuadRank])&gt;0,_xlfn.RANK.EQ(Games[[#This Row],[QuadSort]],Games[QuadSort],1),"")</f>
        <v/>
      </c>
      <c r="X69" s="5"/>
      <c r="Y69" s="5"/>
    </row>
    <row r="70" spans="10:25" x14ac:dyDescent="0.2">
      <c r="J70" s="7" t="str">
        <f>TEXT(Games[[#This Row],[Date]], "ddd")</f>
        <v>Sat</v>
      </c>
      <c r="K70" s="11">
        <v>46263</v>
      </c>
      <c r="L70" s="9">
        <v>0.67013888888888884</v>
      </c>
      <c r="M70" t="s">
        <v>48</v>
      </c>
      <c r="N70" t="s">
        <v>15</v>
      </c>
      <c r="O70" s="15">
        <f>_xlfn.XLOOKUP(Games[[#This Row],[Type]],Types[Type],Types[Price])</f>
        <v>75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$75.00 (4)</v>
      </c>
      <c r="R70" s="12"/>
      <c r="S70" s="16"/>
      <c r="T70" cm="1">
        <f t="array" aca="1" ref="T7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1.0000021260264713</v>
      </c>
      <c r="U70" cm="1">
        <f t="array" aca="1" ref="U7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1.0000021260264713</v>
      </c>
      <c r="V70">
        <f ca="1">_xlfn.RANK.EQ(Games[[#This Row],[Sort]],Games[Sort],1)</f>
        <v>58</v>
      </c>
      <c r="W70" t="str">
        <f>IF(COUNT(Games[QuadRank])&gt;0,_xlfn.RANK.EQ(Games[[#This Row],[QuadSort]],Games[QuadSort],1),"")</f>
        <v/>
      </c>
      <c r="X70" s="5"/>
      <c r="Y70" s="5"/>
    </row>
    <row r="71" spans="10:25" x14ac:dyDescent="0.2">
      <c r="J71" s="7" t="str">
        <f>TEXT(Games[[#This Row],[Date]], "ddd")</f>
        <v>Sun</v>
      </c>
      <c r="K71" s="11">
        <v>46264</v>
      </c>
      <c r="L71" s="9">
        <v>0.56597222222222221</v>
      </c>
      <c r="M71" t="s">
        <v>48</v>
      </c>
      <c r="N71" t="s">
        <v>15</v>
      </c>
      <c r="O71" s="15">
        <f>_xlfn.XLOOKUP(Games[[#This Row],[Type]],Types[Type],Types[Price])</f>
        <v>75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$75.00 (4)</v>
      </c>
      <c r="R71" s="12"/>
      <c r="S71" s="16"/>
      <c r="T71" cm="1">
        <f t="array" aca="1" ref="T7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1.000002184669655</v>
      </c>
      <c r="U71" cm="1">
        <f t="array" aca="1" ref="U7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1.000002184669655</v>
      </c>
      <c r="V71">
        <f ca="1">_xlfn.RANK.EQ(Games[[#This Row],[Sort]],Games[Sort],1)</f>
        <v>59</v>
      </c>
      <c r="W71" t="str">
        <f>IF(COUNT(Games[QuadRank])&gt;0,_xlfn.RANK.EQ(Games[[#This Row],[QuadSort]],Games[QuadSort],1),"")</f>
        <v/>
      </c>
      <c r="X71" s="5"/>
      <c r="Y71" s="5"/>
    </row>
    <row r="72" spans="10:25" x14ac:dyDescent="0.2">
      <c r="J72" s="7" t="str">
        <f>TEXT(Games[[#This Row],[Date]], "ddd")</f>
        <v>Mon</v>
      </c>
      <c r="K72" s="11">
        <v>46265</v>
      </c>
      <c r="L72" s="9">
        <v>0.78125</v>
      </c>
      <c r="M72" t="s">
        <v>48</v>
      </c>
      <c r="N72" t="s">
        <v>15</v>
      </c>
      <c r="O72" s="15">
        <f>_xlfn.XLOOKUP(Games[[#This Row],[Type]],Types[Type],Types[Price])</f>
        <v>75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$75.00 (4)</v>
      </c>
      <c r="R72" s="12"/>
      <c r="S72" s="16"/>
      <c r="T72" cm="1">
        <f t="array" aca="1" ref="T7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1.0000000433350678</v>
      </c>
      <c r="U72" cm="1">
        <f t="array" aca="1" ref="U7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1.0000000433350678</v>
      </c>
      <c r="V72">
        <f ca="1">_xlfn.RANK.EQ(Games[[#This Row],[Sort]],Games[Sort],1)</f>
        <v>1</v>
      </c>
      <c r="W72" t="str">
        <f>IF(COUNT(Games[QuadRank])&gt;0,_xlfn.RANK.EQ(Games[[#This Row],[QuadSort]],Games[QuadSort],1),"")</f>
        <v/>
      </c>
      <c r="X72" s="5"/>
      <c r="Y72" s="5"/>
    </row>
    <row r="73" spans="10:25" x14ac:dyDescent="0.2">
      <c r="J73" s="7" t="str">
        <f>TEXT(Games[[#This Row],[Date]], "ddd")</f>
        <v>Tue</v>
      </c>
      <c r="K73" s="11">
        <v>46266</v>
      </c>
      <c r="L73" s="9">
        <v>0.78125</v>
      </c>
      <c r="M73" t="s">
        <v>42</v>
      </c>
      <c r="N73" t="s">
        <v>15</v>
      </c>
      <c r="O73" s="15">
        <f>_xlfn.XLOOKUP(Games[[#This Row],[Type]],Types[Type],Types[Price])</f>
        <v>75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$75.00 (4)</v>
      </c>
      <c r="R73" s="12"/>
      <c r="S73" s="16"/>
      <c r="T73" cm="1">
        <f t="array" aca="1" ref="T7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1.0000009068317213</v>
      </c>
      <c r="U73" cm="1">
        <f t="array" aca="1" ref="U7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1.0000009068317213</v>
      </c>
      <c r="V73">
        <f ca="1">_xlfn.RANK.EQ(Games[[#This Row],[Sort]],Games[Sort],1)</f>
        <v>23</v>
      </c>
      <c r="W73" t="str">
        <f>IF(COUNT(Games[QuadRank])&gt;0,_xlfn.RANK.EQ(Games[[#This Row],[QuadSort]],Games[QuadSort],1),"")</f>
        <v/>
      </c>
      <c r="X73" s="5"/>
      <c r="Y73" s="5"/>
    </row>
    <row r="74" spans="10:25" x14ac:dyDescent="0.2">
      <c r="J74" s="7" t="str">
        <f>TEXT(Games[[#This Row],[Date]], "ddd")</f>
        <v>Wed</v>
      </c>
      <c r="K74" s="11">
        <v>46267</v>
      </c>
      <c r="L74" s="9">
        <v>0.54513888888888895</v>
      </c>
      <c r="M74" t="s">
        <v>42</v>
      </c>
      <c r="N74" t="s">
        <v>15</v>
      </c>
      <c r="O74" s="15">
        <f>_xlfn.XLOOKUP(Games[[#This Row],[Type]],Types[Type],Types[Price])</f>
        <v>75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$75.00 (4)</v>
      </c>
      <c r="R74" s="12"/>
      <c r="S74" s="16"/>
      <c r="T74" cm="1">
        <f t="array" aca="1" ref="T7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1.0000019620677323</v>
      </c>
      <c r="U74" cm="1">
        <f t="array" aca="1" ref="U7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1.0000019620677323</v>
      </c>
      <c r="V74">
        <f ca="1">_xlfn.RANK.EQ(Games[[#This Row],[Sort]],Games[Sort],1)</f>
        <v>54</v>
      </c>
      <c r="W74" t="str">
        <f>IF(COUNT(Games[QuadRank])&gt;0,_xlfn.RANK.EQ(Games[[#This Row],[QuadSort]],Games[QuadSort],1),"")</f>
        <v/>
      </c>
      <c r="X74" s="5"/>
      <c r="Y74" s="5"/>
    </row>
    <row r="75" spans="10:25" x14ac:dyDescent="0.2">
      <c r="J75" s="7" t="str">
        <f>TEXT(Games[[#This Row],[Date]], "ddd")</f>
        <v>Fri</v>
      </c>
      <c r="K75" s="11">
        <v>46276</v>
      </c>
      <c r="L75" s="9">
        <v>0.78125</v>
      </c>
      <c r="M75" t="s">
        <v>60</v>
      </c>
      <c r="N75" t="s">
        <v>15</v>
      </c>
      <c r="O75" s="15">
        <f>_xlfn.XLOOKUP(Games[[#This Row],[Type]],Types[Type],Types[Price])</f>
        <v>75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$75.00 (4)</v>
      </c>
      <c r="R75" s="12"/>
      <c r="S75" s="16"/>
      <c r="T75" cm="1">
        <f t="array" aca="1" ref="T7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1.0000020049610181</v>
      </c>
      <c r="U75" cm="1">
        <f t="array" aca="1" ref="U7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1.0000020049610181</v>
      </c>
      <c r="V75">
        <f ca="1">_xlfn.RANK.EQ(Games[[#This Row],[Sort]],Games[Sort],1)</f>
        <v>56</v>
      </c>
      <c r="W75" t="str">
        <f>IF(COUNT(Games[QuadRank])&gt;0,_xlfn.RANK.EQ(Games[[#This Row],[QuadSort]],Games[QuadSort],1),"")</f>
        <v/>
      </c>
      <c r="X75" s="5"/>
      <c r="Y75" s="5"/>
    </row>
    <row r="76" spans="10:25" x14ac:dyDescent="0.2">
      <c r="J76" s="7" t="str">
        <f>TEXT(Games[[#This Row],[Date]], "ddd")</f>
        <v>Sat</v>
      </c>
      <c r="K76" s="11">
        <v>46277</v>
      </c>
      <c r="L76" s="9">
        <v>0.67013888888888884</v>
      </c>
      <c r="M76" t="s">
        <v>60</v>
      </c>
      <c r="N76" t="s">
        <v>15</v>
      </c>
      <c r="O76" s="15">
        <f>_xlfn.XLOOKUP(Games[[#This Row],[Type]],Types[Type],Types[Price])</f>
        <v>75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$75.00 (4)</v>
      </c>
      <c r="R76" s="12"/>
      <c r="S76" s="16"/>
      <c r="T76" cm="1">
        <f t="array" aca="1" ref="T7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1.0000007254142818</v>
      </c>
      <c r="U76" cm="1">
        <f t="array" aca="1" ref="U7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1.0000007254142818</v>
      </c>
      <c r="V76">
        <f ca="1">_xlfn.RANK.EQ(Games[[#This Row],[Sort]],Games[Sort],1)</f>
        <v>18</v>
      </c>
      <c r="W76" t="str">
        <f>IF(COUNT(Games[QuadRank])&gt;0,_xlfn.RANK.EQ(Games[[#This Row],[QuadSort]],Games[QuadSort],1),"")</f>
        <v/>
      </c>
      <c r="X76" s="5"/>
      <c r="Y76" s="5"/>
    </row>
    <row r="77" spans="10:25" x14ac:dyDescent="0.2">
      <c r="J77" s="7" t="str">
        <f>TEXT(Games[[#This Row],[Date]], "ddd")</f>
        <v>Sun</v>
      </c>
      <c r="K77" s="11">
        <v>46278</v>
      </c>
      <c r="L77" s="9">
        <v>0.56597222222222221</v>
      </c>
      <c r="M77" t="s">
        <v>60</v>
      </c>
      <c r="N77" t="s">
        <v>15</v>
      </c>
      <c r="O77" s="15">
        <f>_xlfn.XLOOKUP(Games[[#This Row],[Type]],Types[Type],Types[Price])</f>
        <v>75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$75.00 (4)</v>
      </c>
      <c r="R77" s="12"/>
      <c r="S77" s="16"/>
      <c r="T77" cm="1">
        <f t="array" aca="1" ref="T7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1.0000007840574656</v>
      </c>
      <c r="U77" cm="1">
        <f t="array" aca="1" ref="U7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1.0000007840574656</v>
      </c>
      <c r="V77">
        <f ca="1">_xlfn.RANK.EQ(Games[[#This Row],[Sort]],Games[Sort],1)</f>
        <v>21</v>
      </c>
      <c r="W77" t="str">
        <f>IF(COUNT(Games[QuadRank])&gt;0,_xlfn.RANK.EQ(Games[[#This Row],[QuadSort]],Games[QuadSort],1),"")</f>
        <v/>
      </c>
      <c r="X77" s="5"/>
      <c r="Y77" s="5"/>
    </row>
    <row r="78" spans="10:25" x14ac:dyDescent="0.2">
      <c r="J78" s="7" t="str">
        <f>TEXT(Games[[#This Row],[Date]], "ddd")</f>
        <v>Tue</v>
      </c>
      <c r="K78" s="11">
        <v>46280</v>
      </c>
      <c r="L78" s="9">
        <v>0.78125</v>
      </c>
      <c r="M78" t="s">
        <v>51</v>
      </c>
      <c r="N78" t="s">
        <v>15</v>
      </c>
      <c r="O78" s="15">
        <f>_xlfn.XLOOKUP(Games[[#This Row],[Type]],Types[Type],Types[Price])</f>
        <v>75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$75.00 (4)</v>
      </c>
      <c r="R78" s="12"/>
      <c r="S78" s="16"/>
      <c r="T78" cm="1">
        <f t="array" aca="1" ref="T7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1.0000006618364203</v>
      </c>
      <c r="U78" cm="1">
        <f t="array" aca="1" ref="U7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1.0000006618364203</v>
      </c>
      <c r="V78">
        <f ca="1">_xlfn.RANK.EQ(Games[[#This Row],[Sort]],Games[Sort],1)</f>
        <v>17</v>
      </c>
      <c r="W78" t="str">
        <f>IF(COUNT(Games[QuadRank])&gt;0,_xlfn.RANK.EQ(Games[[#This Row],[QuadSort]],Games[QuadSort],1),"")</f>
        <v/>
      </c>
      <c r="X78" s="5"/>
      <c r="Y78" s="5"/>
    </row>
    <row r="79" spans="10:25" x14ac:dyDescent="0.2">
      <c r="J79" s="7" t="str">
        <f>TEXT(Games[[#This Row],[Date]], "ddd")</f>
        <v>Wed</v>
      </c>
      <c r="K79" s="11">
        <v>46281</v>
      </c>
      <c r="L79" s="9">
        <v>0.78125</v>
      </c>
      <c r="M79" t="s">
        <v>51</v>
      </c>
      <c r="N79" t="s">
        <v>15</v>
      </c>
      <c r="O79" s="15">
        <f>_xlfn.XLOOKUP(Games[[#This Row],[Type]],Types[Type],Types[Price])</f>
        <v>75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$75.00 (4)</v>
      </c>
      <c r="R79" s="12"/>
      <c r="S79" s="16"/>
      <c r="T79" cm="1">
        <f t="array" aca="1" ref="T7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1.0000015253330741</v>
      </c>
      <c r="U79" cm="1">
        <f t="array" aca="1" ref="U7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1.0000015253330741</v>
      </c>
      <c r="V79">
        <f ca="1">_xlfn.RANK.EQ(Games[[#This Row],[Sort]],Games[Sort],1)</f>
        <v>45</v>
      </c>
      <c r="W79" t="str">
        <f>IF(COUNT(Games[QuadRank])&gt;0,_xlfn.RANK.EQ(Games[[#This Row],[QuadSort]],Games[QuadSort],1),"")</f>
        <v/>
      </c>
      <c r="X79" s="5"/>
      <c r="Y79" s="5"/>
    </row>
    <row r="80" spans="10:25" x14ac:dyDescent="0.2">
      <c r="J80" s="7" t="str">
        <f>TEXT(Games[[#This Row],[Date]], "ddd")</f>
        <v>Fri</v>
      </c>
      <c r="K80" s="11">
        <v>46290</v>
      </c>
      <c r="L80" s="9">
        <v>0.78125</v>
      </c>
      <c r="M80" t="s">
        <v>46</v>
      </c>
      <c r="N80" t="s">
        <v>15</v>
      </c>
      <c r="O80" s="15">
        <f>_xlfn.XLOOKUP(Games[[#This Row],[Type]],Types[Type],Types[Price])</f>
        <v>75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$75.00 (4)</v>
      </c>
      <c r="R80" s="12"/>
      <c r="S80" s="16"/>
      <c r="T80" cm="1">
        <f t="array" aca="1" ref="T8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1.0000017599657172</v>
      </c>
      <c r="U80" cm="1">
        <f t="array" aca="1" ref="U8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1.0000017599657172</v>
      </c>
      <c r="V80">
        <f ca="1">_xlfn.RANK.EQ(Games[[#This Row],[Sort]],Games[Sort],1)</f>
        <v>53</v>
      </c>
      <c r="W80" t="str">
        <f>IF(COUNT(Games[QuadRank])&gt;0,_xlfn.RANK.EQ(Games[[#This Row],[QuadSort]],Games[QuadSort],1),"")</f>
        <v/>
      </c>
      <c r="X80" s="5"/>
      <c r="Y80" s="5"/>
    </row>
    <row r="81" spans="10:25" x14ac:dyDescent="0.2">
      <c r="J81" s="7" t="str">
        <f>TEXT(Games[[#This Row],[Date]], "ddd")</f>
        <v>Sat</v>
      </c>
      <c r="K81" s="11">
        <v>46291</v>
      </c>
      <c r="L81" s="9">
        <v>0.67013888888888884</v>
      </c>
      <c r="M81" t="s">
        <v>46</v>
      </c>
      <c r="N81" t="s">
        <v>15</v>
      </c>
      <c r="O81" s="15">
        <f>_xlfn.XLOOKUP(Games[[#This Row],[Type]],Types[Type],Types[Price])</f>
        <v>75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$75.00 (4)</v>
      </c>
      <c r="R81" s="12"/>
      <c r="S81" s="16"/>
      <c r="T81" cm="1">
        <f t="array" aca="1" ref="T8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1.0000023786236896</v>
      </c>
      <c r="U81" cm="1">
        <f t="array" aca="1" ref="U8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1.0000023786236896</v>
      </c>
      <c r="V81">
        <f ca="1">_xlfn.RANK.EQ(Games[[#This Row],[Sort]],Games[Sort],1)</f>
        <v>64</v>
      </c>
      <c r="W81" t="str">
        <f>IF(COUNT(Games[QuadRank])&gt;0,_xlfn.RANK.EQ(Games[[#This Row],[QuadSort]],Games[QuadSort],1),"")</f>
        <v/>
      </c>
      <c r="X81" s="5"/>
      <c r="Y81" s="5"/>
    </row>
    <row r="82" spans="10:25" x14ac:dyDescent="0.2">
      <c r="J82" s="7" t="str">
        <f>TEXT(Games[[#This Row],[Date]], "ddd")</f>
        <v>Sun</v>
      </c>
      <c r="K82" s="11">
        <v>46292</v>
      </c>
      <c r="L82" s="9">
        <v>0.62847222222222221</v>
      </c>
      <c r="M82" t="s">
        <v>46</v>
      </c>
      <c r="N82" t="s">
        <v>15</v>
      </c>
      <c r="O82" s="15">
        <f>_xlfn.XLOOKUP(Games[[#This Row],[Type]],Types[Type],Types[Price])</f>
        <v>75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$75.00 (4)</v>
      </c>
      <c r="R82" s="12"/>
      <c r="S82" s="16"/>
      <c r="T82" cm="1">
        <f t="array" aca="1" ref="T8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1.0000002691139906</v>
      </c>
      <c r="U82" cm="1">
        <f t="array" aca="1" ref="U8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1.0000002691139906</v>
      </c>
      <c r="V82">
        <f ca="1">_xlfn.RANK.EQ(Games[[#This Row],[Sort]],Games[Sort],1)</f>
        <v>9</v>
      </c>
      <c r="W82" t="str">
        <f>IF(COUNT(Games[QuadRank])&gt;0,_xlfn.RANK.EQ(Games[[#This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3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4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5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6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7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8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2026-10-20T17:52:27Z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