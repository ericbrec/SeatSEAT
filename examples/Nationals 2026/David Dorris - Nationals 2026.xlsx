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5AA95F07-05DD-43B9-B173-2B51102214A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<sst xmlns="http://schemas.openxmlformats.org/spreadsheetml/2006/main" count="229" uniqueCount="65">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</sst>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19" activePane="bottomLeft" state="frozen"/>
      <selection pane="bottomLeft" activeCell="B39" sqref="B39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20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20.00000209729232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20.00000209729232</v>
      </c>
      <c r="V2">
        <f ca="1">_xlfn.RANK.EQ(Games[[#This Row],[Sort]],Games[Sort],1)</f>
        <v>20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1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1.0000020806848531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1.0000020806848531</v>
      </c>
      <c r="V3">
        <f ca="1">_xlfn.RANK.EQ(Games[[#This Row],[Sort]],Games[Sort],1)</f>
        <v>1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19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19.000002691462743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19.000002691462743</v>
      </c>
      <c r="V4">
        <f ca="1">_xlfn.RANK.EQ(Games[[#This Row],[Sort]],Games[Sort],1)</f>
        <v>19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52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52.000001768681123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52.000001768681123</v>
      </c>
      <c r="V5">
        <f ca="1">_xlfn.RANK.EQ(Games[[#This Row],[Sort]],Games[Sort],1)</f>
        <v>52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12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12.000000371211343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12.000000371211343</v>
      </c>
      <c r="V6">
        <f ca="1">_xlfn.RANK.EQ(Games[[#This Row],[Sort]],Games[Sort],1)</f>
        <v>12</v>
      </c>
      <c r="W6" t="str">
        <f>IF(COUNT(Games[QuadRank])&gt;0,_xlfn.RANK.EQ(Games[[#This Row],[QuadSort]],Games[QuadSort],1),"")</f>
        <v/>
      </c>
      <c r="X6" s="5"/>
      <c r="Y6" s="5"/>
      <c r="AD6">
        <f>Names[[#This Row],[Pairs]]+Names[[#This Row],[Quads]]</f>
        <v>0</v>
      </c>
      <c r="AE6">
        <f>Names[[#This Row],[Pairs]]*2 + Names[[#This Row],[Quads]]*4</f>
        <v>0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51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51.00000062926123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51.00000062926123</v>
      </c>
      <c r="V7">
        <f ca="1">_xlfn.RANK.EQ(Games[[#This Row],[Sort]],Games[Sort],1)</f>
        <v>51</v>
      </c>
      <c r="W7" t="str">
        <f>IF(COUNT(Games[QuadRank])&gt;0,_xlfn.RANK.EQ(Games[[#This Row],[QuadSort]],Games[QuadSort],1),"")</f>
        <v/>
      </c>
      <c r="X7" s="5"/>
      <c r="Y7" s="5"/>
      <c r="AD7">
        <f>Names[[#This Row],[Pairs]]+Names[[#This Row],[Quads]]</f>
        <v>0</v>
      </c>
      <c r="AE7">
        <f>Names[[#This Row],[Pairs]]*2 + Names[[#This Row],[Quads]]*4</f>
        <v>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13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13.000000830051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13.000000830051</v>
      </c>
      <c r="V8">
        <f ca="1">_xlfn.RANK.EQ(Games[[#This Row],[Sort]],Games[Sort],1)</f>
        <v>13</v>
      </c>
      <c r="W8" t="str">
        <f>IF(COUNT(Games[QuadRank])&gt;0,_xlfn.RANK.EQ(Games[[#This Row],[QuadSort]],Games[QuadSort],1),"")</f>
        <v/>
      </c>
      <c r="X8" s="5"/>
      <c r="Y8" s="5"/>
      <c r="AD8">
        <f>Names[[#This Row],[Pairs]]+Names[[#This Row],[Quads]]</f>
        <v>0</v>
      </c>
      <c r="AE8">
        <f>Names[[#This Row],[Pairs]]*2 + Names[[#This Row],[Quads]]*4</f>
        <v>0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14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14.000002508267057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14.000002508267057</v>
      </c>
      <c r="V9">
        <f ca="1">_xlfn.RANK.EQ(Games[[#This Row],[Sort]],Games[Sort],1)</f>
        <v>14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25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25.000000379318919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25.000000379318919</v>
      </c>
      <c r="V10">
        <f ca="1">_xlfn.RANK.EQ(Games[[#This Row],[Sort]],Games[Sort],1)</f>
        <v>25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65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65.000000112275018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65.000000112275018</v>
      </c>
      <c r="V11">
        <f ca="1">_xlfn.RANK.EQ(Games[[#This Row],[Sort]],Games[Sort],1)</f>
        <v>65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37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37.000001454531272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37.000001454531272</v>
      </c>
      <c r="V12">
        <f ca="1">_xlfn.RANK.EQ(Games[[#This Row],[Sort]],Games[Sort],1)</f>
        <v>37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38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38.000000057061484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38.000000057061484</v>
      </c>
      <c r="V13">
        <f ca="1">_xlfn.RANK.EQ(Games[[#This Row],[Sort]],Games[Sort],1)</f>
        <v>38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66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66.000000375851926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66.000000375851926</v>
      </c>
      <c r="V14">
        <f ca="1">_xlfn.RANK.EQ(Games[[#This Row],[Sort]],Games[Sort],1)</f>
        <v>66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15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15.000001913370928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15.000001913370928</v>
      </c>
      <c r="V15">
        <f ca="1">_xlfn.RANK.EQ(Games[[#This Row],[Sort]],Games[Sort],1)</f>
        <v>15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16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16.000000214865125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16.000000214865125</v>
      </c>
      <c r="V16">
        <f ca="1">_xlfn.RANK.EQ(Games[[#This Row],[Sort]],Games[Sort],1)</f>
        <v>16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39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39.000000825643014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39.000000825643014</v>
      </c>
      <c r="V17">
        <f ca="1">_xlfn.RANK.EQ(Games[[#This Row],[Sort]],Games[Sort],1)</f>
        <v>39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28</v>
      </c>
      <c r="AC17">
        <f>SUBTOTAL(109,Names[Quads])</f>
        <v>8</v>
      </c>
      <c r="AD17">
        <f>SUBTOTAL(109,Names[Games])</f>
        <v>36</v>
      </c>
      <c r="AE17">
        <f>SUBTOTAL(109,Names[Tickets])</f>
        <v>88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17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17.000001802943856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17.000001802943856</v>
      </c>
      <c r="V18">
        <f ca="1">_xlfn.RANK.EQ(Games[[#This Row],[Sort]],Games[Sort],1)</f>
        <v>17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118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18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18.000000405474072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18.000000405474072</v>
      </c>
      <c r="V19">
        <f ca="1">_xlfn.RANK.EQ(Games[[#This Row],[Sort]],Games[Sort],1)</f>
        <v>18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73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67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67.00000082217602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67.00000082217602</v>
      </c>
      <c r="V20">
        <f ca="1">_xlfn.RANK.EQ(Games[[#This Row],[Sort]],Games[Sort],1)</f>
        <v>67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21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21.000002261783514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21.000002261783514</v>
      </c>
      <c r="V21">
        <f ca="1">_xlfn.RANK.EQ(Games[[#This Row],[Sort]],Games[Sort],1)</f>
        <v>21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40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40.000000661189219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40.000000661189219</v>
      </c>
      <c r="V22">
        <f ca="1">_xlfn.RANK.EQ(Games[[#This Row],[Sort]],Games[Sort],1)</f>
        <v>40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68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68.000001271967108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68.000001271967108</v>
      </c>
      <c r="V23">
        <f ca="1">_xlfn.RANK.EQ(Games[[#This Row],[Sort]],Games[Sort],1)</f>
        <v>68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69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69.000001544007532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69.000001544007532</v>
      </c>
      <c r="V24">
        <f ca="1">_xlfn.RANK.EQ(Games[[#This Row],[Sort]],Games[Sort],1)</f>
        <v>69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41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41.000000146537758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41.000000146537758</v>
      </c>
      <c r="V25">
        <f ca="1">_xlfn.RANK.EQ(Games[[#This Row],[Sort]],Games[Sort],1)</f>
        <v>41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42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42.000001488793998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42.000001488793998</v>
      </c>
      <c r="V26">
        <f ca="1">_xlfn.RANK.EQ(Games[[#This Row],[Sort]],Games[Sort],1)</f>
        <v>42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70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70.000001591321194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70.000001591321194</v>
      </c>
      <c r="V27">
        <f ca="1">_xlfn.RANK.EQ(Games[[#This Row],[Sort]],Games[Sort],1)</f>
        <v>70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22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22.000000605377416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22.000000605377416</v>
      </c>
      <c r="V28">
        <f ca="1">_xlfn.RANK.EQ(Games[[#This Row],[Sort]],Games[Sort],1)</f>
        <v>22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26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26.000001088771423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26.000001088771423</v>
      </c>
      <c r="V29">
        <f ca="1">_xlfn.RANK.EQ(Games[[#This Row],[Sort]],Games[Sort],1)</f>
        <v>26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71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71.000001699549316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71.000001699549316</v>
      </c>
      <c r="V30">
        <f ca="1">_xlfn.RANK.EQ(Games[[#This Row],[Sort]],Games[Sort],1)</f>
        <v>71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53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53.000001892420123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53.000001892420123</v>
      </c>
      <c r="V31">
        <f ca="1">_xlfn.RANK.EQ(Games[[#This Row],[Sort]],Games[Sort],1)</f>
        <v>53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43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43.000000494950342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43.000000494950342</v>
      </c>
      <c r="V32">
        <f ca="1">_xlfn.RANK.EQ(Games[[#This Row],[Sort]],Games[Sort],1)</f>
        <v>43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54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54.000002054252747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54.000002054252747</v>
      </c>
      <c r="V33">
        <f ca="1">_xlfn.RANK.EQ(Games[[#This Row],[Sort]],Games[Sort],1)</f>
        <v>54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23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23.00000095379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23.00000095379</v>
      </c>
      <c r="V34">
        <f ca="1">_xlfn.RANK.EQ(Games[[#This Row],[Sort]],Games[Sort],1)</f>
        <v>23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24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24.000001535095517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24.000001535095517</v>
      </c>
      <c r="V35">
        <f ca="1">_xlfn.RANK.EQ(Games[[#This Row],[Sort]],Games[Sort],1)</f>
        <v>24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72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72.00000214587341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72.00000214587341</v>
      </c>
      <c r="V36">
        <f ca="1">_xlfn.RANK.EQ(Games[[#This Row],[Sort]],Games[Sort],1)</f>
        <v>72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44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44.000002240832707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44.000002240832707</v>
      </c>
      <c r="V37">
        <f ca="1">_xlfn.RANK.EQ(Games[[#This Row],[Sort]],Games[Sort],1)</f>
        <v>44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73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73.000000843362926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73.000000843362926</v>
      </c>
      <c r="V38">
        <f ca="1">_xlfn.RANK.EQ(Games[[#This Row],[Sort]],Games[Sort],1)</f>
        <v>73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74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74.000002481834954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74.000002481834954</v>
      </c>
      <c r="V39">
        <f ca="1">_xlfn.RANK.EQ(Games[[#This Row],[Sort]],Games[Sort],1)</f>
        <v>74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35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35.000001412629658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35.000001412629658</v>
      </c>
      <c r="V40">
        <f ca="1">_xlfn.RANK.EQ(Games[[#This Row],[Sort]],Games[Sort],1)</f>
        <v>35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36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36.000000015159877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36.000000015159877</v>
      </c>
      <c r="V41">
        <f ca="1">_xlfn.RANK.EQ(Games[[#This Row],[Sort]],Games[Sort],1)</f>
        <v>36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45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45.000001357416124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45.000001357416124</v>
      </c>
      <c r="V42">
        <f ca="1">_xlfn.RANK.EQ(Games[[#This Row],[Sort]],Games[Sort],1)</f>
        <v>45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55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55.000002699672365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55.000002699672365</v>
      </c>
      <c r="V43">
        <f ca="1">_xlfn.RANK.EQ(Games[[#This Row],[Sort]],Games[Sort],1)</f>
        <v>55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4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4.0000000684075792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4.0000000684075792</v>
      </c>
      <c r="V44">
        <f ca="1">_xlfn.RANK.EQ(Games[[#This Row],[Sort]],Games[Sort],1)</f>
        <v>4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5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5.0000021869021598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5.0000021869021598</v>
      </c>
      <c r="V45">
        <f ca="1">_xlfn.RANK.EQ(Games[[#This Row],[Sort]],Games[Sort],1)</f>
        <v>5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56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56.000002187506226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56.000002187506226</v>
      </c>
      <c r="V46">
        <f ca="1">_xlfn.RANK.EQ(Games[[#This Row],[Sort]],Games[Sort],1)</f>
        <v>56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34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34.000001355450287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34.000001355450287</v>
      </c>
      <c r="V47">
        <f ca="1">_xlfn.RANK.EQ(Games[[#This Row],[Sort]],Games[Sort],1)</f>
        <v>34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46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46.000000692887845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46.000000692887845</v>
      </c>
      <c r="V48">
        <f ca="1">_xlfn.RANK.EQ(Games[[#This Row],[Sort]],Games[Sort],1)</f>
        <v>46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47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47.000002035144092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47.000002035144092</v>
      </c>
      <c r="V49">
        <f ca="1">_xlfn.RANK.EQ(Games[[#This Row],[Sort]],Games[Sort],1)</f>
        <v>47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2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2.0000019799305568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2.0000019799305568</v>
      </c>
      <c r="V50">
        <f ca="1">_xlfn.RANK.EQ(Games[[#This Row],[Sort]],Games[Sort],1)</f>
        <v>2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3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3.0000017905194394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3.0000017905194394</v>
      </c>
      <c r="V51">
        <f ca="1">_xlfn.RANK.EQ(Games[[#This Row],[Sort]],Games[Sort],1)</f>
        <v>3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32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32.00000240129733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32.00000240129733</v>
      </c>
      <c r="V52">
        <f ca="1">_xlfn.RANK.EQ(Games[[#This Row],[Sort]],Games[Sort],1)</f>
        <v>32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33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33.000002328343143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33.000002328343143</v>
      </c>
      <c r="V53">
        <f ca="1">_xlfn.RANK.EQ(Games[[#This Row],[Sort]],Games[Sort],1)</f>
        <v>33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75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75.000002236843528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75.000002236843528</v>
      </c>
      <c r="V54">
        <f ca="1">_xlfn.RANK.EQ(Games[[#This Row],[Sort]],Games[Sort],1)</f>
        <v>75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76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76.000000107895403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76.000000107895403</v>
      </c>
      <c r="V55">
        <f ca="1">_xlfn.RANK.EQ(Games[[#This Row],[Sort]],Games[Sort],1)</f>
        <v>76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48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48.000001610567168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48.000001610567168</v>
      </c>
      <c r="V56">
        <f ca="1">_xlfn.RANK.EQ(Games[[#This Row],[Sort]],Games[Sort],1)</f>
        <v>48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49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49.000000213097387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49.000000213097387</v>
      </c>
      <c r="V57">
        <f ca="1">_xlfn.RANK.EQ(Games[[#This Row],[Sort]],Games[Sort],1)</f>
        <v>49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57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57.000000443856941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57.000000443856941</v>
      </c>
      <c r="V58">
        <f ca="1">_xlfn.RANK.EQ(Games[[#This Row],[Sort]],Games[Sort],1)</f>
        <v>57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6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6.000000671937042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6.000000671937042</v>
      </c>
      <c r="V59">
        <f ca="1">_xlfn.RANK.EQ(Games[[#This Row],[Sort]],Games[Sort],1)</f>
        <v>6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27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27.000002014193289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27.000002014193289</v>
      </c>
      <c r="V60">
        <f ca="1">_xlfn.RANK.EQ(Games[[#This Row],[Sort]],Games[Sort],1)</f>
        <v>27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58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58.000000535477604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58.000000535477604</v>
      </c>
      <c r="V61">
        <f ca="1">_xlfn.RANK.EQ(Games[[#This Row],[Sort]],Games[Sort],1)</f>
        <v>58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7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7.0000005615099692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7.0000005615099692</v>
      </c>
      <c r="V62">
        <f ca="1">_xlfn.RANK.EQ(Games[[#This Row],[Sort]],Games[Sort],1)</f>
        <v>7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8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8.0000019037662149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8.0000019037662149</v>
      </c>
      <c r="V63">
        <f ca="1">_xlfn.RANK.EQ(Games[[#This Row],[Sort]],Games[Sort],1)</f>
        <v>8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50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50.000000873573569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50.000000873573569</v>
      </c>
      <c r="V64">
        <f ca="1">_xlfn.RANK.EQ(Games[[#This Row],[Sort]],Games[Sort],1)</f>
        <v>50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77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77.000002307392336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77.000002307392336</v>
      </c>
      <c r="V65">
        <f ca="1">_xlfn.RANK.EQ(Games[[#This Row],[Sort]],Games[Sort],1)</f>
        <v>77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78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78.000000909922548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78.000000909922548</v>
      </c>
      <c r="V66">
        <f ca="1">_xlfn.RANK.EQ(Games[[#This Row],[Sort]],Games[Sort],1)</f>
        <v>78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79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79.00000024736012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79.00000024736012</v>
      </c>
      <c r="V67">
        <f ca="1">_xlfn.RANK.EQ(Games[[#This Row],[Sort]],Games[Sort],1)</f>
        <v>79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80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80.000000959592811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80.000000959592811</v>
      </c>
      <c r="V68">
        <f ca="1">_xlfn.RANK.EQ(Games[[#This Row],[Sort]],Games[Sort],1)</f>
        <v>80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9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9.0000001921465778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9.0000001921465778</v>
      </c>
      <c r="V69">
        <f ca="1">_xlfn.RANK.EQ(Games[[#This Row],[Sort]],Games[Sort],1)</f>
        <v>9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28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28.000000584814906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28.000000584814906</v>
      </c>
      <c r="V70">
        <f ca="1">_xlfn.RANK.EQ(Games[[#This Row],[Sort]],Games[Sort],1)</f>
        <v>28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59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59.000001195592795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59.000001195592795</v>
      </c>
      <c r="V71">
        <f ca="1">_xlfn.RANK.EQ(Games[[#This Row],[Sort]],Games[Sort],1)</f>
        <v>59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60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60.000001479189287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60.000001479189287</v>
      </c>
      <c r="V72">
        <f ca="1">_xlfn.RANK.EQ(Games[[#This Row],[Sort]],Games[Sort],1)</f>
        <v>60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61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61.000000081719506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61.000000081719506</v>
      </c>
      <c r="V73">
        <f ca="1">_xlfn.RANK.EQ(Games[[#This Row],[Sort]],Games[Sort],1)</f>
        <v>61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62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62.000001550296233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62.000001550296233</v>
      </c>
      <c r="V74">
        <f ca="1">_xlfn.RANK.EQ(Games[[#This Row],[Sort]],Games[Sort],1)</f>
        <v>62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10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10.000000540559164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10.000000540559164</v>
      </c>
      <c r="V75">
        <f ca="1">_xlfn.RANK.EQ(Games[[#This Row],[Sort]],Games[Sort],1)</f>
        <v>10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29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29.000001031139004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29.000001031139004</v>
      </c>
      <c r="V76">
        <f ca="1">_xlfn.RANK.EQ(Games[[#This Row],[Sort]],Games[Sort],1)</f>
        <v>29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81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81.000001641916896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81.000001641916896</v>
      </c>
      <c r="V77">
        <f ca="1">_xlfn.RANK.EQ(Games[[#This Row],[Sort]],Games[Sort],1)</f>
        <v>81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30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30.000001165039432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30.000001165039432</v>
      </c>
      <c r="V78">
        <f ca="1">_xlfn.RANK.EQ(Games[[#This Row],[Sort]],Games[Sort],1)</f>
        <v>30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63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63.000002507295676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63.000002507295676</v>
      </c>
      <c r="V79">
        <f ca="1">_xlfn.RANK.EQ(Games[[#This Row],[Sort]],Games[Sort],1)</f>
        <v>63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11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11.000001623879092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11.000001623879092</v>
      </c>
      <c r="V80">
        <f ca="1">_xlfn.RANK.EQ(Games[[#This Row],[Sort]],Games[Sort],1)</f>
        <v>11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31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31.000001458721208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31.000001458721208</v>
      </c>
      <c r="V81">
        <f ca="1">_xlfn.RANK.EQ(Games[[#This Row],[Sort]],Games[Sort],1)</f>
        <v>31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64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64.000000227851984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64.000000227851984</v>
      </c>
      <c r="V82">
        <f ca="1">_xlfn.RANK.EQ(Games[[#This Row],[Sort]],Games[Sort],1)</f>
        <v>64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2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