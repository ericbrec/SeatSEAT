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Kraken 2026\"/>
    </mc:Choice>
  </mc:AlternateContent>
  <xr:revisionPtr revIDLastSave="0" documentId="13_ncr:1_{F800F906-84CB-42C4-8FE9-A3935B6710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Sheet1" sheetId="2" r:id="rId2"/>
  </sheets>
  <definedNames>
    <definedName name="_xlnm._FilterDatabase" localSheetId="0" hidden="1">Ranking!$J$1:$S$42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E2" i="2"/>
  <c r="E8" i="2"/>
  <c r="E7" i="2"/>
  <c r="E4" i="2"/>
  <c r="E1" i="2"/>
  <c r="E6" i="2"/>
  <c r="E5" i="2"/>
  <c r="E3" i="2"/>
  <c r="AD25" i="1"/>
  <c r="AD26" i="1"/>
  <c r="AD27" i="1"/>
  <c r="AD24" i="1"/>
  <c r="AD28" i="1" s="1"/>
  <c r="AE25" i="1"/>
  <c r="AF25" i="1" s="1"/>
  <c r="AE26" i="1"/>
  <c r="AF26" i="1" s="1"/>
  <c r="AE27" i="1"/>
  <c r="AF27" i="1" s="1"/>
  <c r="AD2" i="1"/>
  <c r="AE2" i="1"/>
  <c r="AD3" i="1"/>
  <c r="AE3" i="1"/>
  <c r="W29" i="1" l="1"/>
  <c r="W40" i="1"/>
  <c r="W26" i="1"/>
  <c r="W39" i="1"/>
  <c r="W25" i="1"/>
  <c r="W9" i="1"/>
  <c r="W8" i="1"/>
  <c r="W33" i="1"/>
  <c r="W17" i="1"/>
  <c r="W21" i="1"/>
  <c r="W20" i="1"/>
  <c r="W7" i="1"/>
  <c r="W15" i="1"/>
  <c r="W23" i="1"/>
  <c r="W31" i="1"/>
  <c r="W14" i="1"/>
  <c r="W38" i="1"/>
  <c r="W16" i="1"/>
  <c r="W24" i="1"/>
  <c r="W32" i="1"/>
  <c r="W5" i="1"/>
  <c r="W13" i="1"/>
  <c r="W37" i="1"/>
  <c r="W41" i="1"/>
  <c r="W30" i="1"/>
  <c r="W2" i="1"/>
  <c r="W10" i="1"/>
  <c r="W18" i="1"/>
  <c r="W34" i="1"/>
  <c r="W42" i="1"/>
  <c r="W3" i="1"/>
  <c r="W11" i="1"/>
  <c r="W19" i="1"/>
  <c r="W35" i="1"/>
  <c r="W4" i="1"/>
  <c r="W12" i="1"/>
  <c r="W28" i="1"/>
  <c r="W36" i="1"/>
  <c r="W6" i="1"/>
  <c r="W22" i="1"/>
  <c r="W27" i="1"/>
  <c r="AE24" i="1"/>
  <c r="AC17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AD11" i="1"/>
  <c r="AD5" i="1"/>
  <c r="AD12" i="1"/>
  <c r="AD7" i="1"/>
  <c r="AE11" i="1"/>
  <c r="AE5" i="1"/>
  <c r="AE12" i="1"/>
  <c r="AE7" i="1"/>
  <c r="AD8" i="1"/>
  <c r="AD13" i="1"/>
  <c r="AD9" i="1"/>
  <c r="AD14" i="1"/>
  <c r="AE8" i="1"/>
  <c r="AE13" i="1"/>
  <c r="AE9" i="1"/>
  <c r="AE14" i="1"/>
  <c r="AD10" i="1"/>
  <c r="AD6" i="1"/>
  <c r="AE10" i="1"/>
  <c r="AE6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AF24" i="1" l="1"/>
  <c r="AF28" i="1" s="1"/>
  <c r="AE28" i="1"/>
  <c r="Q39" i="1"/>
  <c r="Q31" i="1"/>
  <c r="Q23" i="1"/>
  <c r="Q15" i="1"/>
  <c r="Q7" i="1"/>
  <c r="AE19" i="1"/>
  <c r="Q38" i="1"/>
  <c r="Q30" i="1"/>
  <c r="Q22" i="1"/>
  <c r="Q14" i="1"/>
  <c r="Q6" i="1"/>
  <c r="Q37" i="1"/>
  <c r="Q29" i="1"/>
  <c r="Q21" i="1"/>
  <c r="Q13" i="1"/>
  <c r="Q5" i="1"/>
  <c r="Q36" i="1"/>
  <c r="Q28" i="1"/>
  <c r="Q20" i="1"/>
  <c r="Q12" i="1"/>
  <c r="Q4" i="1"/>
  <c r="Q35" i="1"/>
  <c r="Q27" i="1"/>
  <c r="Q19" i="1"/>
  <c r="Q11" i="1"/>
  <c r="Q3" i="1"/>
  <c r="Q42" i="1"/>
  <c r="Q34" i="1"/>
  <c r="Q26" i="1"/>
  <c r="Q18" i="1"/>
  <c r="Q10" i="1"/>
  <c r="Q41" i="1"/>
  <c r="Q33" i="1"/>
  <c r="Q25" i="1"/>
  <c r="Q17" i="1"/>
  <c r="Q9" i="1"/>
  <c r="Q40" i="1"/>
  <c r="Q32" i="1"/>
  <c r="Q24" i="1"/>
  <c r="Q16" i="1"/>
  <c r="Q8" i="1"/>
  <c r="Q2" i="1"/>
  <c r="AD17" i="1"/>
  <c r="AE17" i="1"/>
  <c r="AE18" i="1" s="1"/>
  <c r="V5" i="1"/>
  <c r="V2" i="1"/>
  <c r="V39" i="1"/>
  <c r="V34" i="1"/>
  <c r="V10" i="1"/>
  <c r="V41" i="1"/>
  <c r="V25" i="1"/>
  <c r="V17" i="1"/>
  <c r="V9" i="1"/>
  <c r="V15" i="1"/>
  <c r="V14" i="1"/>
  <c r="V7" i="1"/>
  <c r="V30" i="1"/>
  <c r="V21" i="1"/>
  <c r="V23" i="1"/>
  <c r="V22" i="1"/>
  <c r="V29" i="1"/>
  <c r="V31" i="1"/>
  <c r="V38" i="1"/>
  <c r="V6" i="1"/>
  <c r="V37" i="1"/>
  <c r="V13" i="1"/>
  <c r="V42" i="1"/>
  <c r="V18" i="1"/>
  <c r="V26" i="1"/>
  <c r="V33" i="1"/>
  <c r="V28" i="1"/>
  <c r="V27" i="1"/>
  <c r="V12" i="1"/>
  <c r="V40" i="1"/>
  <c r="V24" i="1"/>
  <c r="V8" i="1"/>
  <c r="V20" i="1"/>
  <c r="V16" i="1"/>
  <c r="V32" i="1"/>
  <c r="V4" i="1"/>
  <c r="V35" i="1"/>
  <c r="V11" i="1"/>
  <c r="V3" i="1"/>
  <c r="V36" i="1"/>
  <c r="V1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<sst xmlns="http://schemas.openxmlformats.org/spreadsheetml/2006/main" count="187" uniqueCount="103">
  <si>
    <t>Date</t>
  </si>
  <si>
    <t>Time</t>
  </si>
  <si>
    <t>Day</t>
  </si>
  <si>
    <t>Rank</t>
  </si>
  <si>
    <t>Opponent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</si>
  <si>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</si>
  <si>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</si>
  <si>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</si>
  <si>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</si>
  <si>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</si>
  <si>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</si>
  <si>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</si>
  <si>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</si>
  <si>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</si>
  <si>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</si>
  <si>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A</t>
  </si>
  <si>
    <t>Random</t>
  </si>
  <si>
    <t>Prefer later dates</t>
  </si>
  <si>
    <t>Sort</t>
  </si>
  <si>
    <t>Pairs</t>
  </si>
  <si>
    <t>Quads</t>
  </si>
  <si>
    <t>Tom Grandine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</si>
  <si>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</si>
  <si>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</si>
  <si>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</si>
  <si>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</si>
  <si>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</si>
  <si>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</si>
  <si>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</si>
  <si>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</si>
  <si>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</si>
  <si>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</si>
  <si>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</si>
  <si>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</si>
  <si>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</si>
  <si>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</si>
  <si>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</si>
  <si>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</si>
  <si>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</si>
  <si>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</si>
  <si>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</si>
  <si>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Flames</t>
  </si>
  <si>
    <t>Golden Knights</t>
  </si>
  <si>
    <t>Red Wings</t>
  </si>
  <si>
    <t>Mammoth</t>
  </si>
  <si>
    <t>Wild</t>
  </si>
  <si>
    <t>Maple Leafs</t>
  </si>
  <si>
    <t>Rangers</t>
  </si>
  <si>
    <t>Canucks</t>
  </si>
  <si>
    <t>Ducks</t>
  </si>
  <si>
    <t>Blackhawks</t>
  </si>
  <si>
    <t>Oilers</t>
  </si>
  <si>
    <t>Stars</t>
  </si>
  <si>
    <t>Sabres</t>
  </si>
  <si>
    <t>Capitals</t>
  </si>
  <si>
    <t>Predators</t>
  </si>
  <si>
    <t>Sharks</t>
  </si>
  <si>
    <t>Flyers</t>
  </si>
  <si>
    <t>Islanders</t>
  </si>
  <si>
    <t>Lightning</t>
  </si>
  <si>
    <t>Panthers</t>
  </si>
  <si>
    <t>Blue Jackets</t>
  </si>
  <si>
    <t>Devils</t>
  </si>
  <si>
    <t>Canadiens</t>
  </si>
  <si>
    <t>Blues</t>
  </si>
  <si>
    <t>Penguins</t>
  </si>
  <si>
    <t>Senators</t>
  </si>
  <si>
    <t>Bruins</t>
  </si>
  <si>
    <t>Jets</t>
  </si>
  <si>
    <t>Kings</t>
  </si>
  <si>
    <t>Avalanche</t>
  </si>
  <si>
    <t>Home Opener: Charcuterie Board — All fans in attendance</t>
  </si>
  <si>
    <t>Hockey Fights Cancer Night: Kraken Hockey Fights Cancer Beanie — First 10,000 fans</t>
  </si>
  <si>
    <t>Kids Day: Squishy Toy — First 5,000 kids</t>
  </si>
  <si>
    <t>Fan Appreciation Night: Fan Appreciation Item — All fans in attendance</t>
  </si>
  <si>
    <t>Alyssa Kay</t>
  </si>
  <si>
    <t>Brian Marshburn</t>
  </si>
  <si>
    <t>Jeffrey Kay</t>
  </si>
  <si>
    <t>Mike &amp; Meg</t>
  </si>
  <si>
    <t>Scott Ruthford</t>
  </si>
  <si>
    <t>Terry Emmel</t>
  </si>
  <si>
    <t>EB</t>
  </si>
  <si>
    <t> :</t>
  </si>
  <si>
    <t>JK</t>
  </si>
  <si>
    <t>SR</t>
  </si>
  <si>
    <t>AK</t>
  </si>
  <si>
    <t>JE</t>
  </si>
  <si>
    <t>TE</t>
  </si>
  <si>
    <t>TG</t>
  </si>
  <si>
    <t>BM</t>
  </si>
  <si>
    <t>Josh Emmel</t>
  </si>
  <si>
    <t>Hispanic Heritage Night</t>
  </si>
  <si>
    <t>Military Appreciation Day</t>
  </si>
  <si>
    <t>Indigenous Peoples Night</t>
  </si>
  <si>
    <t>Youth Sports Night</t>
  </si>
  <si>
    <t>AANHPI Night</t>
  </si>
  <si>
    <t>Bobblehead — First 5,000 fans</t>
  </si>
  <si>
    <t>Pride Night</t>
  </si>
  <si>
    <t>Black Hockey History Night</t>
  </si>
  <si>
    <t>Women in Hockey Night</t>
  </si>
  <si>
    <t>Mascot Madness</t>
  </si>
  <si>
    <t>Kraken Flag — All fans in attendance</t>
  </si>
  <si>
    <t>Green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</si>
</sst>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  <xf numFmtId="8" fontId="0" fillId="0" borderId="0" xfId="0" applyNumberFormat="1"/>
    <xf numFmtId="0" fontId="7" fillId="0" borderId="0" xfId="0" applyFont="1" applyAlignment="1">
      <alignment vertical="center"/>
    </xf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8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42" totalsRowShown="0" headerRowDxfId="27" dataDxfId="26">
  <autoFilter ref="J1:Y42" xr:uid="{00000000-000C-0000-FFFF-FFFF00000000}"/>
  <sortState xmlns:xlrd2="http://schemas.microsoft.com/office/spreadsheetml/2017/richdata2" ref="J2:Y42">
    <sortCondition ref="K2:K42"/>
    <sortCondition ref="L2:L42"/>
    <sortCondition ref="N2:N42"/>
  </sortState>
  <tableColumns count="16">
    <tableColumn id="3" xr3:uid="{00000000-0010-0000-0000-000003000000}" name="Day" dataDxfId="25">
      <calculatedColumnFormula>TEXT(Games[[#This Row],[Date]], "ddd")</calculatedColumnFormula>
    </tableColumn>
    <tableColumn id="2" xr3:uid="{00000000-0010-0000-0000-000002000000}" name="Date" dataDxfId="24"/>
    <tableColumn id="5" xr3:uid="{00000000-0010-0000-0000-000005000000}" name="Time" dataDxfId="23"/>
    <tableColumn id="4" xr3:uid="{00000000-0010-0000-0000-000004000000}" name="Opponent" dataDxfId="22"/>
    <tableColumn id="7" xr3:uid="{9E8F088B-1EA6-44CA-B818-1F7D43F5D5E7}" name="Type" dataCellStyle="Normal"/>
    <tableColumn id="8" xr3:uid="{AA6D2002-4C78-4093-9793-A575FAC0F72F}" name="Price" dataDxfId="21" dataCellStyle="Currency">
      <calculatedColumnFormula>_xlfn.XLOOKUP(Games[[#This Row],[Type]],Types[Type],Types[Price])</calculatedColumnFormula>
    </tableColumn>
    <tableColumn id="21" xr3:uid="{6605C5A5-6B7D-4186-8D6F-A61D7DFDD8D4}" name="GamePairs" dataDxfId="20">
      <calculatedColumnFormula>_xlfn.XLOOKUP(Games[[#This Row],[Type]],Types[Type],Types[Pairs])</calculatedColumnFormula>
    </tableColumn>
    <tableColumn id="15" xr3:uid="{9471ECAA-F4C1-478C-B117-15D31D83B2FA}" name="Seats" dataDxfId="19">
      <calculatedColumnFormula>TEXT(Games[[#This Row],[Price]],"$#,##0.00")&amp;" ("&amp;Games[[#This Row],[GamePairs]]*2&amp;")"</calculatedColumnFormula>
    </tableColumn>
    <tableColumn id="6" xr3:uid="{00000000-0010-0000-0000-000006000000}" name="Rank" dataDxfId="18"/>
    <tableColumn id="10" xr3:uid="{00000000-0010-0000-0000-00000A000000}" name="QuadRank" dataDxfId="17" dataCellStyle="Normal 2"/>
    <tableColumn id="13" xr3:uid="{10011C92-A32E-4605-8584-BDBE5EABC83A}" name="Sort" dataDxfId="1">
      <calculatedColumnFormula array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0">
      <calculatedColumnFormula array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6">
      <calculatedColumnFormula>_xlfn.RANK.EQ(Games[[#This Row],[Sort]],Games[Sort],1)</calculatedColumnFormula>
    </tableColumn>
    <tableColumn id="9" xr3:uid="{FE7F021A-A7DE-4DDD-9CB4-33114D9B6A5E}" name="QuadPick" dataDxfId="15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4"/>
    <tableColumn id="14" xr3:uid="{02873305-C254-48E4-9E8D-324FD18F7B69}" name="Comments" dataDxfId="1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12" totalsRowDxfId="11"/>
    <tableColumn id="2" xr3:uid="{D785142C-C4FC-418F-A0C8-7745E2B467E4}" name="Price" dataDxfId="10" dataCellStyle="Currency"/>
    <tableColumn id="3" xr3:uid="{F14FCFFA-E6B3-465B-BEC9-D1AFB23F6C0D}" name="Pairs"/>
    <tableColumn id="4" xr3:uid="{77C90207-35F5-4AB4-B4C2-39C4FABA9268}" name="Games" totalsRowFunction="sum" dataDxfId="9">
      <calculatedColumnFormula>COUNTIF(Games[Type],Types[[#This Row],[Type]])</calculatedColumnFormula>
    </tableColumn>
    <tableColumn id="5" xr3:uid="{B143CB75-DF50-4323-85C5-10526A2643E2}" name="Tickets" totalsRowFunction="sum" dataDxfId="8">
      <calculatedColumnFormula>Types[[#This Row],[Games]]*Types[[#This Row],[Pairs]]*2</calculatedColumnFormula>
    </tableColumn>
    <tableColumn id="6" xr3:uid="{1050CF1C-249D-4CE7-A143-304C5582C5BA}" name="Cost" totalsRowFunction="sum" dataDxfId="7" totalsRowDxfId="6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5">
  <autoFilter ref="AA1:AE16" xr:uid="{DC161206-53B6-44AE-82B4-69A498D363E1}"/>
  <sortState xmlns:xlrd2="http://schemas.microsoft.com/office/spreadsheetml/2017/richdata2" ref="AA2:AE16">
    <sortCondition ref="AA1:AA16"/>
  </sortState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4">
      <calculatedColumnFormula>Names[[#This Row],[Pairs]]+Names[[#This Row],[Quads]]</calculatedColumnFormula>
    </tableColumn>
    <tableColumn id="5" xr3:uid="{352D40E4-D431-4ADD-8BC1-66192541A0D2}" name="Tickets" totalsRowFunction="sum" dataDxfId="3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5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" customWidth="1"/>
    <col min="20" max="21" width="13.42578125" hidden="1" customWidth="1"/>
    <col min="22" max="22" width="8.28515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28</v>
      </c>
      <c r="O1" s="19" t="s">
        <v>30</v>
      </c>
      <c r="P1" s="19" t="s">
        <v>37</v>
      </c>
      <c r="Q1" s="19" t="s">
        <v>38</v>
      </c>
      <c r="R1" s="20" t="s">
        <v>3</v>
      </c>
      <c r="S1" s="20" t="s">
        <v>29</v>
      </c>
      <c r="T1" s="19" t="s">
        <v>18</v>
      </c>
      <c r="U1" s="19" t="s">
        <v>36</v>
      </c>
      <c r="V1" s="19" t="s">
        <v>31</v>
      </c>
      <c r="W1" s="19" t="s">
        <v>32</v>
      </c>
      <c r="X1" s="17" t="s">
        <v>34</v>
      </c>
      <c r="Y1" s="17" t="s">
        <v>35</v>
      </c>
      <c r="AA1" s="17" t="s">
        <v>33</v>
      </c>
      <c r="AB1" s="17" t="s">
        <v>19</v>
      </c>
      <c r="AC1" s="17" t="s">
        <v>20</v>
      </c>
      <c r="AD1" s="17" t="s">
        <v>24</v>
      </c>
      <c r="AE1" s="17" t="s">
        <v>25</v>
      </c>
    </row>
    <row r="2" spans="1:31" x14ac:dyDescent="0.2">
      <c r="J2" s="7" t="str">
        <f>TEXT(Games[[#This Row],[Date]], "ddd")</f>
        <v>Sun</v>
      </c>
      <c r="K2" s="11">
        <v>46299</v>
      </c>
      <c r="L2" s="10">
        <v>0.79166666666666663</v>
      </c>
      <c r="M2" t="s">
        <v>41</v>
      </c>
      <c r="N2" t="s">
        <v>15</v>
      </c>
      <c r="O2" s="15">
        <f>_xlfn.XLOOKUP(Games[[#This Row],[Type]],Types[Type],Types[Price])</f>
        <v>95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$95.00 (4)</v>
      </c>
      <c r="R2" s="12"/>
      <c r="S2" s="16"/>
      <c r="T2" cm="1">
        <f t="array" aca="1" ref="T2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1.000001013437543</v>
      </c>
      <c r="U2" cm="1">
        <f t="array" aca="1" ref="U2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1.000001013437543</v>
      </c>
      <c r="V2">
        <f ca="1">_xlfn.RANK.EQ(Games[[#This Row],[Sort]],Games[Sort],1)</f>
        <v>17</v>
      </c>
      <c r="W2" t="str">
        <f>IF(COUNT(Games[QuadRank])&gt;0,_xlfn.RANK.EQ(Games[[#This Row],[QuadSort]],Games[QuadSort],1),"")</f>
        <v/>
      </c>
      <c r="X2" s="5" t="s">
        <v>71</v>
      </c>
      <c r="Y2" s="5"/>
      <c r="AA2" s="21" t="s">
        <v>75</v>
      </c>
      <c r="AB2" s="22">
        <v>1</v>
      </c>
      <c r="AC2" s="22">
        <v>2</v>
      </c>
      <c r="AD2">
        <f>Names[[#This Row],[Pairs]]+Names[[#This Row],[Quads]]</f>
        <v>3</v>
      </c>
      <c r="AE2">
        <f>Names[[#This Row],[Pairs]]*2 + Names[[#This Row],[Quads]]*4</f>
        <v>10</v>
      </c>
    </row>
    <row r="3" spans="1:31" x14ac:dyDescent="0.2">
      <c r="J3" s="7" t="str">
        <f>TEXT(Games[[#This Row],[Date]], "ddd")</f>
        <v>Tue</v>
      </c>
      <c r="K3" s="11">
        <v>46301</v>
      </c>
      <c r="L3" s="10">
        <v>0.79166666666666663</v>
      </c>
      <c r="M3" t="s">
        <v>42</v>
      </c>
      <c r="N3" t="s">
        <v>15</v>
      </c>
      <c r="O3" s="15">
        <f>_xlfn.XLOOKUP(Games[[#This Row],[Type]],Types[Type],Types[Price])</f>
        <v>95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$95.00 (4)</v>
      </c>
      <c r="R3" s="12"/>
      <c r="S3" s="16"/>
      <c r="T3" cm="1">
        <f t="array" aca="1" ref="T3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1.000001839620474</v>
      </c>
      <c r="U3" cm="1">
        <f t="array" aca="1" ref="U3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1.000001839620474</v>
      </c>
      <c r="V3">
        <f ca="1">_xlfn.RANK.EQ(Games[[#This Row],[Sort]],Games[Sort],1)</f>
        <v>29</v>
      </c>
      <c r="W3" t="str">
        <f>IF(COUNT(Games[QuadRank])&gt;0,_xlfn.RANK.EQ(Games[[#This Row],[QuadSort]],Games[QuadSort],1),"")</f>
        <v/>
      </c>
      <c r="X3" s="5"/>
      <c r="Y3" s="5"/>
      <c r="AA3" s="21" t="s">
        <v>76</v>
      </c>
      <c r="AB3" s="22">
        <v>3</v>
      </c>
      <c r="AC3" s="22">
        <v>0</v>
      </c>
      <c r="AD3">
        <f>Names[[#This Row],[Pairs]]+Names[[#This Row],[Quads]]</f>
        <v>3</v>
      </c>
      <c r="AE3">
        <f>Names[[#This Row],[Pairs]]*2 + Names[[#This Row],[Quads]]*4</f>
        <v>6</v>
      </c>
    </row>
    <row r="4" spans="1:31" x14ac:dyDescent="0.2">
      <c r="J4" s="7" t="str">
        <f>TEXT(Games[[#This Row],[Date]], "ddd")</f>
        <v>Tue</v>
      </c>
      <c r="K4" s="11">
        <v>46315</v>
      </c>
      <c r="L4" s="10">
        <v>0.79166666666666663</v>
      </c>
      <c r="M4" t="s">
        <v>43</v>
      </c>
      <c r="N4" t="s">
        <v>15</v>
      </c>
      <c r="O4" s="15">
        <f>_xlfn.XLOOKUP(Games[[#This Row],[Type]],Types[Type],Types[Price])</f>
        <v>95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$95.00 (4)</v>
      </c>
      <c r="R4" s="12"/>
      <c r="S4" s="16"/>
      <c r="T4" cm="1">
        <f t="array" aca="1" ref="T4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1.000002378331686</v>
      </c>
      <c r="U4" cm="1">
        <f t="array" aca="1" ref="U4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1.000002378331686</v>
      </c>
      <c r="V4">
        <f ca="1">_xlfn.RANK.EQ(Games[[#This Row],[Sort]],Games[Sort],1)</f>
        <v>36</v>
      </c>
      <c r="W4" t="str">
        <f>IF(COUNT(Games[QuadRank])&gt;0,_xlfn.RANK.EQ(Games[[#This Row],[QuadSort]],Games[QuadSort],1),"")</f>
        <v/>
      </c>
      <c r="X4" s="5"/>
      <c r="Y4" s="5"/>
      <c r="AA4" s="21" t="s">
        <v>22</v>
      </c>
      <c r="AB4" s="22">
        <v>11</v>
      </c>
      <c r="AC4" s="22">
        <v>3</v>
      </c>
      <c r="AD4">
        <f>Names[[#This Row],[Pairs]]+Names[[#This Row],[Quads]]</f>
        <v>14</v>
      </c>
      <c r="AE4">
        <f>Names[[#This Row],[Pairs]]*2 + Names[[#This Row],[Quads]]*4</f>
        <v>34</v>
      </c>
    </row>
    <row r="5" spans="1:31" x14ac:dyDescent="0.2">
      <c r="J5" s="7" t="str">
        <f>TEXT(Games[[#This Row],[Date]], "ddd")</f>
        <v>Thu</v>
      </c>
      <c r="K5" s="11">
        <v>46317</v>
      </c>
      <c r="L5" s="10">
        <v>0.8125</v>
      </c>
      <c r="M5" t="s">
        <v>44</v>
      </c>
      <c r="N5" t="s">
        <v>15</v>
      </c>
      <c r="O5" s="15">
        <f>_xlfn.XLOOKUP(Games[[#This Row],[Type]],Types[Type],Types[Price])</f>
        <v>95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$95.00 (4)</v>
      </c>
      <c r="R5" s="12"/>
      <c r="S5" s="16"/>
      <c r="T5" cm="1">
        <f t="array" aca="1" ref="T5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1.0000001784106678</v>
      </c>
      <c r="U5" cm="1">
        <f t="array" aca="1" ref="U5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1.0000001784106678</v>
      </c>
      <c r="V5">
        <f ca="1">_xlfn.RANK.EQ(Games[[#This Row],[Sort]],Games[Sort],1)</f>
        <v>4</v>
      </c>
      <c r="W5" t="str">
        <f>IF(COUNT(Games[QuadRank])&gt;0,_xlfn.RANK.EQ(Games[[#This Row],[QuadSort]],Games[QuadSort],1),"")</f>
        <v/>
      </c>
      <c r="X5" s="25" t="s">
        <v>91</v>
      </c>
      <c r="Y5" s="5"/>
      <c r="AA5" t="s">
        <v>77</v>
      </c>
      <c r="AB5">
        <v>9</v>
      </c>
      <c r="AC5">
        <v>0</v>
      </c>
      <c r="AD5">
        <f>Names[[#This Row],[Pairs]]+Names[[#This Row],[Quads]]</f>
        <v>9</v>
      </c>
      <c r="AE5">
        <f>Names[[#This Row],[Pairs]]*2 + Names[[#This Row],[Quads]]*4</f>
        <v>18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TEXT(Games[[#This Row],[Date]], "ddd")</f>
        <v>Sat</v>
      </c>
      <c r="K6" s="11">
        <v>46319</v>
      </c>
      <c r="L6" s="10">
        <v>0.79166666666666663</v>
      </c>
      <c r="M6" t="s">
        <v>45</v>
      </c>
      <c r="N6" t="s">
        <v>15</v>
      </c>
      <c r="O6" s="15">
        <f>_xlfn.XLOOKUP(Games[[#This Row],[Type]],Types[Type],Types[Price])</f>
        <v>95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$95.00 (4)</v>
      </c>
      <c r="R6" s="12"/>
      <c r="S6" s="16"/>
      <c r="T6" cm="1">
        <f t="array" aca="1" ref="T6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1.000001473964294</v>
      </c>
      <c r="U6" cm="1">
        <f t="array" aca="1" ref="U6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1.000001473964294</v>
      </c>
      <c r="V6">
        <f ca="1">_xlfn.RANK.EQ(Games[[#This Row],[Sort]],Games[Sort],1)</f>
        <v>22</v>
      </c>
      <c r="W6" t="str">
        <f>IF(COUNT(Games[QuadRank])&gt;0,_xlfn.RANK.EQ(Games[[#This Row],[QuadSort]],Games[QuadSort],1),"")</f>
        <v/>
      </c>
      <c r="X6" s="5"/>
      <c r="Y6" s="5"/>
      <c r="AA6" t="s">
        <v>90</v>
      </c>
      <c r="AB6">
        <v>4</v>
      </c>
      <c r="AC6">
        <v>0</v>
      </c>
      <c r="AD6">
        <f>Names[[#This Row],[Pairs]]+Names[[#This Row],[Quads]]</f>
        <v>4</v>
      </c>
      <c r="AE6">
        <f>Names[[#This Row],[Pairs]]*2 + Names[[#This Row],[Quads]]*4</f>
        <v>8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>TEXT(Games[[#This Row],[Date]], "ddd")</f>
        <v>Wed</v>
      </c>
      <c r="K7" s="11">
        <v>46323</v>
      </c>
      <c r="L7" s="10">
        <v>0.79166666666666663</v>
      </c>
      <c r="M7" t="s">
        <v>46</v>
      </c>
      <c r="N7" t="s">
        <v>15</v>
      </c>
      <c r="O7" s="15">
        <f>_xlfn.XLOOKUP(Games[[#This Row],[Type]],Types[Type],Types[Price])</f>
        <v>95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$95.00 (4)</v>
      </c>
      <c r="R7" s="12"/>
      <c r="S7" s="16"/>
      <c r="T7" cm="1">
        <f t="array" aca="1" ref="T7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1.0000001640049454</v>
      </c>
      <c r="U7" cm="1">
        <f t="array" aca="1" ref="U7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1.0000001640049454</v>
      </c>
      <c r="V7">
        <f ca="1">_xlfn.RANK.EQ(Games[[#This Row],[Sort]],Games[Sort],1)</f>
        <v>3</v>
      </c>
      <c r="W7" t="str">
        <f>IF(COUNT(Games[QuadRank])&gt;0,_xlfn.RANK.EQ(Games[[#This Row],[QuadSort]],Games[QuadSort],1),"")</f>
        <v/>
      </c>
      <c r="X7" s="5"/>
      <c r="Y7" s="5"/>
      <c r="AA7" t="s">
        <v>78</v>
      </c>
      <c r="AB7">
        <v>12</v>
      </c>
      <c r="AC7">
        <v>1</v>
      </c>
      <c r="AD7">
        <f>Names[[#This Row],[Pairs]]+Names[[#This Row],[Quads]]</f>
        <v>13</v>
      </c>
      <c r="AE7">
        <f>Names[[#This Row],[Pairs]]*2 + Names[[#This Row],[Quads]]*4</f>
        <v>28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>TEXT(Games[[#This Row],[Date]], "ddd")</f>
        <v>Wed</v>
      </c>
      <c r="K8" s="11">
        <v>46330</v>
      </c>
      <c r="L8" s="10">
        <v>0.79166666666666663</v>
      </c>
      <c r="M8" t="s">
        <v>41</v>
      </c>
      <c r="N8" t="s">
        <v>15</v>
      </c>
      <c r="O8" s="15">
        <f>_xlfn.XLOOKUP(Games[[#This Row],[Type]],Types[Type],Types[Price])</f>
        <v>95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$95.00 (4)</v>
      </c>
      <c r="R8" s="12"/>
      <c r="S8" s="16"/>
      <c r="T8" cm="1">
        <f t="array" aca="1" ref="T8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1.0000002305645732</v>
      </c>
      <c r="U8" cm="1">
        <f t="array" aca="1" ref="U8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1.0000002305645732</v>
      </c>
      <c r="V8">
        <f ca="1">_xlfn.RANK.EQ(Games[[#This Row],[Sort]],Games[Sort],1)</f>
        <v>5</v>
      </c>
      <c r="W8" t="str">
        <f>IF(COUNT(Games[QuadRank])&gt;0,_xlfn.RANK.EQ(Games[[#This Row],[QuadSort]],Games[QuadSort],1),"")</f>
        <v/>
      </c>
      <c r="X8" s="5"/>
      <c r="Y8" s="5"/>
      <c r="AA8" t="s">
        <v>79</v>
      </c>
      <c r="AB8">
        <v>6</v>
      </c>
      <c r="AC8">
        <v>0</v>
      </c>
      <c r="AD8">
        <f>Names[[#This Row],[Pairs]]+Names[[#This Row],[Quads]]</f>
        <v>6</v>
      </c>
      <c r="AE8">
        <f>Names[[#This Row],[Pairs]]*2 + Names[[#This Row],[Quads]]*4</f>
        <v>12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>TEXT(Games[[#This Row],[Date]], "ddd")</f>
        <v>Sat</v>
      </c>
      <c r="K9" s="11">
        <v>46333</v>
      </c>
      <c r="L9" s="10">
        <v>0.79166666666666663</v>
      </c>
      <c r="M9" t="s">
        <v>47</v>
      </c>
      <c r="N9" t="s">
        <v>15</v>
      </c>
      <c r="O9" s="15">
        <f>_xlfn.XLOOKUP(Games[[#This Row],[Type]],Types[Type],Types[Price])</f>
        <v>95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$95.00 (4)</v>
      </c>
      <c r="R9" s="12"/>
      <c r="S9" s="16"/>
      <c r="T9" cm="1">
        <f t="array" aca="1" ref="T9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1.0000016070835496</v>
      </c>
      <c r="U9" cm="1">
        <f t="array" aca="1" ref="U9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1.0000016070835496</v>
      </c>
      <c r="V9">
        <f ca="1">_xlfn.RANK.EQ(Games[[#This Row],[Sort]],Games[Sort],1)</f>
        <v>26</v>
      </c>
      <c r="W9" t="str">
        <f>IF(COUNT(Games[QuadRank])&gt;0,_xlfn.RANK.EQ(Games[[#This Row],[QuadSort]],Games[QuadSort],1),"")</f>
        <v/>
      </c>
      <c r="X9" s="25" t="s">
        <v>92</v>
      </c>
      <c r="Y9" s="5"/>
      <c r="AA9" t="s">
        <v>80</v>
      </c>
      <c r="AB9">
        <v>0</v>
      </c>
      <c r="AC9">
        <v>2</v>
      </c>
      <c r="AD9">
        <f>Names[[#This Row],[Pairs]]+Names[[#This Row],[Quads]]</f>
        <v>2</v>
      </c>
      <c r="AE9">
        <f>Names[[#This Row],[Pairs]]*2 + Names[[#This Row],[Quads]]*4</f>
        <v>8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>TEXT(Games[[#This Row],[Date]], "ddd")</f>
        <v>Thu</v>
      </c>
      <c r="K10" s="11">
        <v>46345</v>
      </c>
      <c r="L10" s="10">
        <v>0.79166666666666663</v>
      </c>
      <c r="M10" t="s">
        <v>48</v>
      </c>
      <c r="N10" t="s">
        <v>15</v>
      </c>
      <c r="O10" s="15">
        <f>_xlfn.XLOOKUP(Games[[#This Row],[Type]],Types[Type],Types[Price])</f>
        <v>95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$95.00 (4)</v>
      </c>
      <c r="R10" s="12"/>
      <c r="S10" s="16"/>
      <c r="T10" cm="1">
        <f t="array" aca="1" ref="T10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1.0000012281154442</v>
      </c>
      <c r="U10" cm="1">
        <f t="array" aca="1" ref="U10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1.0000012281154442</v>
      </c>
      <c r="V10">
        <f ca="1">_xlfn.RANK.EQ(Games[[#This Row],[Sort]],Games[Sort],1)</f>
        <v>19</v>
      </c>
      <c r="W10" t="str">
        <f>IF(COUNT(Games[QuadRank])&gt;0,_xlfn.RANK.EQ(Games[[#This Row],[QuadSort]],Games[QuadSort],1),"")</f>
        <v/>
      </c>
      <c r="X10" s="5"/>
      <c r="Y10" s="5"/>
      <c r="AA10" t="s">
        <v>21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>TEXT(Games[[#This Row],[Date]], "ddd")</f>
        <v>Mon</v>
      </c>
      <c r="K11" s="11">
        <v>46349</v>
      </c>
      <c r="L11" s="10">
        <v>0.79166666666666663</v>
      </c>
      <c r="M11" t="s">
        <v>49</v>
      </c>
      <c r="N11" t="s">
        <v>15</v>
      </c>
      <c r="O11" s="15">
        <f>_xlfn.XLOOKUP(Games[[#This Row],[Type]],Types[Type],Types[Price])</f>
        <v>95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$95.00 (4)</v>
      </c>
      <c r="R11" s="12"/>
      <c r="S11" s="16"/>
      <c r="T11" cm="1">
        <f t="array" aca="1" ref="T11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1.0000003237480521</v>
      </c>
      <c r="U11" cm="1">
        <f t="array" aca="1" ref="U11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1.0000003237480521</v>
      </c>
      <c r="V11">
        <f ca="1">_xlfn.RANK.EQ(Games[[#This Row],[Sort]],Games[Sort],1)</f>
        <v>8</v>
      </c>
      <c r="W11" t="str">
        <f>IF(COUNT(Games[QuadRank])&gt;0,_xlfn.RANK.EQ(Games[[#This Row],[QuadSort]],Games[QuadSort],1),"")</f>
        <v/>
      </c>
      <c r="X11" s="5" t="s">
        <v>72</v>
      </c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>TEXT(Games[[#This Row],[Date]], "ddd")</f>
        <v>Wed</v>
      </c>
      <c r="K12" s="11">
        <v>46351</v>
      </c>
      <c r="L12" s="9">
        <v>0.79166666666666663</v>
      </c>
      <c r="M12" t="s">
        <v>50</v>
      </c>
      <c r="N12" t="s">
        <v>15</v>
      </c>
      <c r="O12" s="15">
        <f>_xlfn.XLOOKUP(Games[[#This Row],[Type]],Types[Type],Types[Price])</f>
        <v>95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$95.00 (4)</v>
      </c>
      <c r="R12" s="12"/>
      <c r="S12" s="16"/>
      <c r="T12" cm="1">
        <f t="array" aca="1" ref="T12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1.0000008358354131</v>
      </c>
      <c r="U12" cm="1">
        <f t="array" aca="1" ref="U12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1.0000008358354131</v>
      </c>
      <c r="V12">
        <f ca="1">_xlfn.RANK.EQ(Games[[#This Row],[Sort]],Games[Sort],1)</f>
        <v>14</v>
      </c>
      <c r="W12" t="str">
        <f>IF(COUNT(Games[QuadRank])&gt;0,_xlfn.RANK.EQ(Games[[#This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>TEXT(Games[[#This Row],[Date]], "ddd")</f>
        <v>Sat</v>
      </c>
      <c r="K13" s="11">
        <v>46354</v>
      </c>
      <c r="L13" s="9">
        <v>0.54166666666666663</v>
      </c>
      <c r="M13" t="s">
        <v>51</v>
      </c>
      <c r="N13" t="s">
        <v>15</v>
      </c>
      <c r="O13" s="15">
        <f>_xlfn.XLOOKUP(Games[[#This Row],[Type]],Types[Type],Types[Price])</f>
        <v>95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$95.00 (4)</v>
      </c>
      <c r="R13" s="12"/>
      <c r="S13" s="16"/>
      <c r="T13" cm="1">
        <f t="array" aca="1" ref="T13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1.0000009575030855</v>
      </c>
      <c r="U13" cm="1">
        <f t="array" aca="1" ref="U13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1.0000009575030855</v>
      </c>
      <c r="V13">
        <f ca="1">_xlfn.RANK.EQ(Games[[#This Row],[Sort]],Games[Sort],1)</f>
        <v>16</v>
      </c>
      <c r="W13" t="str">
        <f>IF(COUNT(Games[QuadRank])&gt;0,_xlfn.RANK.EQ(Games[[#This Row],[QuadSort]],Games[QuadSort],1),"")</f>
        <v/>
      </c>
      <c r="X13" s="5"/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>TEXT(Games[[#This Row],[Date]], "ddd")</f>
        <v>Tue</v>
      </c>
      <c r="K14" s="11">
        <v>46357</v>
      </c>
      <c r="L14" s="9">
        <v>0.79166666666666663</v>
      </c>
      <c r="M14" t="s">
        <v>52</v>
      </c>
      <c r="N14" t="s">
        <v>15</v>
      </c>
      <c r="O14" s="15">
        <f>_xlfn.XLOOKUP(Games[[#This Row],[Type]],Types[Type],Types[Price])</f>
        <v>95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$95.00 (4)</v>
      </c>
      <c r="R14" s="12"/>
      <c r="S14" s="16"/>
      <c r="T14" cm="1">
        <f t="array" aca="1" ref="T14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1.0000008491473387</v>
      </c>
      <c r="U14" cm="1">
        <f t="array" aca="1" ref="U14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1.0000008491473387</v>
      </c>
      <c r="V14">
        <f ca="1">_xlfn.RANK.EQ(Games[[#This Row],[Sort]],Games[Sort],1)</f>
        <v>15</v>
      </c>
      <c r="W14" t="str">
        <f>IF(COUNT(Games[QuadRank])&gt;0,_xlfn.RANK.EQ(Games[[#This Row],[QuadSort]],Games[QuadSort],1),"")</f>
        <v/>
      </c>
      <c r="X14" s="5"/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>TEXT(Games[[#This Row],[Date]], "ddd")</f>
        <v>Thu</v>
      </c>
      <c r="K15" s="11">
        <v>46359</v>
      </c>
      <c r="L15" s="9">
        <v>0.79166666666666663</v>
      </c>
      <c r="M15" t="s">
        <v>52</v>
      </c>
      <c r="N15" t="s">
        <v>15</v>
      </c>
      <c r="O15" s="15">
        <f>_xlfn.XLOOKUP(Games[[#This Row],[Type]],Types[Type],Types[Price])</f>
        <v>95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$95.00 (4)</v>
      </c>
      <c r="R15" s="12"/>
      <c r="S15" s="16"/>
      <c r="T15" cm="1">
        <f t="array" aca="1" ref="T15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1.0000017668266563</v>
      </c>
      <c r="U15" cm="1">
        <f t="array" aca="1" ref="U15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1.0000017668266563</v>
      </c>
      <c r="V15">
        <f ca="1">_xlfn.RANK.EQ(Games[[#This Row],[Sort]],Games[Sort],1)</f>
        <v>28</v>
      </c>
      <c r="W15" t="str">
        <f>IF(COUNT(Games[QuadRank])&gt;0,_xlfn.RANK.EQ(Games[[#This Row],[QuadSort]],Games[QuadSort],1),"")</f>
        <v/>
      </c>
      <c r="X15" s="5"/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>TEXT(Games[[#This Row],[Date]], "ddd")</f>
        <v>Sun</v>
      </c>
      <c r="K16" s="11">
        <v>46362</v>
      </c>
      <c r="L16" s="9">
        <v>0.79166666666666663</v>
      </c>
      <c r="M16" t="s">
        <v>53</v>
      </c>
      <c r="N16" t="s">
        <v>15</v>
      </c>
      <c r="O16" s="15">
        <f>_xlfn.XLOOKUP(Games[[#This Row],[Type]],Types[Type],Types[Price])</f>
        <v>95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$95.00 (4)</v>
      </c>
      <c r="R16" s="12"/>
      <c r="S16" s="16"/>
      <c r="T16" cm="1">
        <f t="array" aca="1" ref="T16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1.0000027377536762</v>
      </c>
      <c r="U16" cm="1">
        <f t="array" aca="1" ref="U16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1.0000027377536762</v>
      </c>
      <c r="V16">
        <f ca="1">_xlfn.RANK.EQ(Games[[#This Row],[Sort]],Games[Sort],1)</f>
        <v>41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>TEXT(Games[[#This Row],[Date]], "ddd")</f>
        <v>Thu</v>
      </c>
      <c r="K17" s="11">
        <v>46366</v>
      </c>
      <c r="L17" s="9">
        <v>0.70833333333333337</v>
      </c>
      <c r="M17" t="s">
        <v>54</v>
      </c>
      <c r="N17" t="s">
        <v>15</v>
      </c>
      <c r="O17" s="15">
        <f>_xlfn.XLOOKUP(Games[[#This Row],[Type]],Types[Type],Types[Price])</f>
        <v>95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$95.00 (4)</v>
      </c>
      <c r="R17" s="12"/>
      <c r="S17" s="16"/>
      <c r="T17" cm="1">
        <f t="array" aca="1" ref="T17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1.0000025800790064</v>
      </c>
      <c r="U17" cm="1">
        <f t="array" aca="1" ref="U17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1.0000025800790064</v>
      </c>
      <c r="V17">
        <f ca="1">_xlfn.RANK.EQ(Games[[#This Row],[Sort]],Games[Sort],1)</f>
        <v>38</v>
      </c>
      <c r="W17" t="str">
        <f>IF(COUNT(Games[QuadRank])&gt;0,_xlfn.RANK.EQ(Games[[#This Row],[QuadSort]],Games[QuadSort],1),"")</f>
        <v/>
      </c>
      <c r="X17" s="25" t="s">
        <v>93</v>
      </c>
      <c r="Y17" s="5"/>
      <c r="AA17" t="s">
        <v>23</v>
      </c>
      <c r="AB17">
        <f>SUBTOTAL(109,Names[Pairs])</f>
        <v>50</v>
      </c>
      <c r="AC17">
        <f>SUBTOTAL(109,Names[Quads])</f>
        <v>8</v>
      </c>
      <c r="AD17">
        <f>SUBTOTAL(109,Names[Games])</f>
        <v>58</v>
      </c>
      <c r="AE17">
        <f>SUBTOTAL(109,Names[Tickets])</f>
        <v>132</v>
      </c>
    </row>
    <row r="18" spans="2:32" x14ac:dyDescent="0.2">
      <c r="J18" s="7" t="str">
        <f>TEXT(Games[[#This Row],[Date]], "ddd")</f>
        <v>Sat</v>
      </c>
      <c r="K18" s="11">
        <v>46368</v>
      </c>
      <c r="L18" s="9">
        <v>0.79166666666666663</v>
      </c>
      <c r="M18" t="s">
        <v>55</v>
      </c>
      <c r="N18" t="s">
        <v>15</v>
      </c>
      <c r="O18" s="15">
        <f>_xlfn.XLOOKUP(Games[[#This Row],[Type]],Types[Type],Types[Price])</f>
        <v>95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$95.00 (4)</v>
      </c>
      <c r="R18" s="12"/>
      <c r="S18" s="16"/>
      <c r="T18" cm="1">
        <f t="array" aca="1" ref="T18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1.0000000113395744</v>
      </c>
      <c r="U18" cm="1">
        <f t="array" aca="1" ref="U18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1.0000000113395744</v>
      </c>
      <c r="V18">
        <f ca="1">_xlfn.RANK.EQ(Games[[#This Row],[Sort]],Games[Sort],1)</f>
        <v>1</v>
      </c>
      <c r="W18" t="str">
        <f>IF(COUNT(Games[QuadRank])&gt;0,_xlfn.RANK.EQ(Games[[#This Row],[QuadSort]],Games[QuadSort],1),"")</f>
        <v/>
      </c>
      <c r="X18" s="25" t="s">
        <v>94</v>
      </c>
      <c r="Y18" s="5"/>
      <c r="AC18" t="s">
        <v>27</v>
      </c>
      <c r="AE18" s="1">
        <f>SUM(Games[GamePairs]) - Names[[#Totals],[Tickets]]/2</f>
        <v>16</v>
      </c>
    </row>
    <row r="19" spans="2:32" x14ac:dyDescent="0.2">
      <c r="J19" s="7" t="str">
        <f>TEXT(Games[[#This Row],[Date]], "ddd")</f>
        <v>Tue</v>
      </c>
      <c r="K19" s="11">
        <v>46378</v>
      </c>
      <c r="L19" s="9">
        <v>0.70833333333333337</v>
      </c>
      <c r="M19" t="s">
        <v>56</v>
      </c>
      <c r="N19" t="s">
        <v>15</v>
      </c>
      <c r="O19" s="15">
        <f>_xlfn.XLOOKUP(Games[[#This Row],[Type]],Types[Type],Types[Price])</f>
        <v>95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$95.00 (4)</v>
      </c>
      <c r="R19" s="12"/>
      <c r="S19" s="16"/>
      <c r="T19" cm="1">
        <f t="array" aca="1" ref="T19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1.0000022011109009</v>
      </c>
      <c r="U19" cm="1">
        <f t="array" aca="1" ref="U19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1.0000022011109009</v>
      </c>
      <c r="V19">
        <f ca="1">_xlfn.RANK.EQ(Games[[#This Row],[Sort]],Games[Sort],1)</f>
        <v>34</v>
      </c>
      <c r="W19" t="str">
        <f>IF(COUNT(Games[QuadRank])&gt;0,_xlfn.RANK.EQ(Games[[#This Row],[QuadSort]],Games[QuadSort],1),"")</f>
        <v/>
      </c>
      <c r="X19" s="5"/>
      <c r="Y19" s="5"/>
      <c r="AC19" s="3" t="s">
        <v>39</v>
      </c>
      <c r="AE19">
        <f>COUNTIF(Games[GamePairs],"&gt;1")-Names[[#Totals],[Quads]]</f>
        <v>33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>TEXT(Games[[#This Row],[Date]], "ddd")</f>
        <v>Tue</v>
      </c>
      <c r="K20" s="11">
        <v>46385</v>
      </c>
      <c r="L20" s="9">
        <v>0.79166666666666663</v>
      </c>
      <c r="M20" t="s">
        <v>57</v>
      </c>
      <c r="N20" t="s">
        <v>15</v>
      </c>
      <c r="O20" s="15">
        <f>_xlfn.XLOOKUP(Games[[#This Row],[Type]],Types[Type],Types[Price])</f>
        <v>95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$95.00 (4)</v>
      </c>
      <c r="R20" s="12"/>
      <c r="S20" s="16"/>
      <c r="T20" cm="1">
        <f t="array" aca="1" ref="T20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1.0000015209778066</v>
      </c>
      <c r="U20" cm="1">
        <f t="array" aca="1" ref="U20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1.0000015209778066</v>
      </c>
      <c r="V20">
        <f ca="1">_xlfn.RANK.EQ(Games[[#This Row],[Sort]],Games[Sort],1)</f>
        <v>24</v>
      </c>
      <c r="W20" t="str">
        <f>IF(COUNT(Games[QuadRank])&gt;0,_xlfn.RANK.EQ(Games[[#This Row],[QuadSort]],Games[QuadSort],1),"")</f>
        <v/>
      </c>
      <c r="X20" s="5"/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>TEXT(Games[[#This Row],[Date]], "ddd")</f>
        <v>Sat</v>
      </c>
      <c r="K21" s="11">
        <v>46389</v>
      </c>
      <c r="L21" s="9">
        <v>0.79166666666666663</v>
      </c>
      <c r="M21" t="s">
        <v>58</v>
      </c>
      <c r="N21" t="s">
        <v>15</v>
      </c>
      <c r="O21" s="15">
        <f>_xlfn.XLOOKUP(Games[[#This Row],[Type]],Types[Type],Types[Price])</f>
        <v>95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$95.00 (4)</v>
      </c>
      <c r="R21" s="12"/>
      <c r="S21" s="16"/>
      <c r="T21" cm="1">
        <f t="array" aca="1" ref="T21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1.0000006166104145</v>
      </c>
      <c r="U21" cm="1">
        <f t="array" aca="1" ref="U21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1.0000006166104145</v>
      </c>
      <c r="V21">
        <f ca="1">_xlfn.RANK.EQ(Games[[#This Row],[Sort]],Games[Sort],1)</f>
        <v>10</v>
      </c>
      <c r="W21" t="str">
        <f>IF(COUNT(Games[QuadRank])&gt;0,_xlfn.RANK.EQ(Games[[#This Row],[QuadSort]],Games[QuadSort],1),"")</f>
        <v/>
      </c>
      <c r="X21" s="5"/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>TEXT(Games[[#This Row],[Date]], "ddd")</f>
        <v>Sun</v>
      </c>
      <c r="K22" s="11">
        <v>46390</v>
      </c>
      <c r="L22" s="9">
        <v>0.79166666666666663</v>
      </c>
      <c r="M22" t="s">
        <v>48</v>
      </c>
      <c r="N22" t="s">
        <v>15</v>
      </c>
      <c r="O22" s="15">
        <f>_xlfn.XLOOKUP(Games[[#This Row],[Type]],Types[Type],Types[Price])</f>
        <v>95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$95.00 (4)</v>
      </c>
      <c r="R22" s="12"/>
      <c r="S22" s="16"/>
      <c r="T22" cm="1">
        <f t="array" aca="1" ref="T22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1.0000006698581168</v>
      </c>
      <c r="U22" cm="1">
        <f t="array" aca="1" ref="U22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1.0000006698581168</v>
      </c>
      <c r="V22">
        <f ca="1">_xlfn.RANK.EQ(Games[[#This Row],[Sort]],Games[Sort],1)</f>
        <v>11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>TEXT(Games[[#This Row],[Date]], "ddd")</f>
        <v>Tue</v>
      </c>
      <c r="K23" s="11">
        <v>46392</v>
      </c>
      <c r="L23" s="9">
        <v>0.79166666666666663</v>
      </c>
      <c r="M23" t="s">
        <v>59</v>
      </c>
      <c r="N23" t="s">
        <v>15</v>
      </c>
      <c r="O23" s="15">
        <f>_xlfn.XLOOKUP(Games[[#This Row],[Type]],Types[Type],Types[Price])</f>
        <v>95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$95.00 (4)</v>
      </c>
      <c r="R23" s="12"/>
      <c r="S23" s="16"/>
      <c r="T23" cm="1">
        <f t="array" aca="1" ref="T23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1.0000015875374344</v>
      </c>
      <c r="U23" cm="1">
        <f t="array" aca="1" ref="U23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1.0000015875374344</v>
      </c>
      <c r="V23">
        <f ca="1">_xlfn.RANK.EQ(Games[[#This Row],[Sort]],Games[Sort],1)</f>
        <v>25</v>
      </c>
      <c r="W23" t="str">
        <f>IF(COUNT(Games[QuadRank])&gt;0,_xlfn.RANK.EQ(Games[[#This Row],[QuadSort]],Games[QuadSort],1),"")</f>
        <v/>
      </c>
      <c r="X23" s="5"/>
      <c r="Y23" s="5"/>
      <c r="AA23" t="s">
        <v>28</v>
      </c>
      <c r="AB23" t="s">
        <v>30</v>
      </c>
      <c r="AC23" t="s">
        <v>19</v>
      </c>
      <c r="AD23" t="s">
        <v>24</v>
      </c>
      <c r="AE23" t="s">
        <v>25</v>
      </c>
      <c r="AF23" t="s">
        <v>40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>TEXT(Games[[#This Row],[Date]], "ddd")</f>
        <v>Tue</v>
      </c>
      <c r="K24" s="11">
        <v>46399</v>
      </c>
      <c r="L24" s="9">
        <v>0.77777777777777779</v>
      </c>
      <c r="M24" t="s">
        <v>60</v>
      </c>
      <c r="N24" t="s">
        <v>15</v>
      </c>
      <c r="O24" s="15">
        <f>_xlfn.XLOOKUP(Games[[#This Row],[Type]],Types[Type],Types[Price])</f>
        <v>95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$95.00 (4)</v>
      </c>
      <c r="R24" s="12"/>
      <c r="S24" s="16"/>
      <c r="T24" cm="1">
        <f t="array" aca="1" ref="T24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1.000001264423565</v>
      </c>
      <c r="U24" cm="1">
        <f t="array" aca="1" ref="U24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1.000001264423565</v>
      </c>
      <c r="V24">
        <f ca="1">_xlfn.RANK.EQ(Games[[#This Row],[Sort]],Games[Sort],1)</f>
        <v>20</v>
      </c>
      <c r="W24" t="str">
        <f>IF(COUNT(Games[QuadRank])&gt;0,_xlfn.RANK.EQ(Games[[#This Row],[QuadSort]],Games[QuadSort],1),"")</f>
        <v/>
      </c>
      <c r="X24" s="25" t="s">
        <v>95</v>
      </c>
      <c r="Y24" s="5"/>
      <c r="AA24" s="3" t="s">
        <v>15</v>
      </c>
      <c r="AB24" s="15">
        <v>95</v>
      </c>
      <c r="AC24">
        <v>2</v>
      </c>
      <c r="AD24">
        <f>COUNTIF(Games[Type],Types[[#This Row],[Type]])</f>
        <v>41</v>
      </c>
      <c r="AE24">
        <f>Types[[#This Row],[Games]]*Types[[#This Row],[Pairs]]*2</f>
        <v>164</v>
      </c>
      <c r="AF24" s="23">
        <f>Types[[#This Row],[Tickets]]*Types[[#This Row],[Price]]</f>
        <v>15580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>TEXT(Games[[#This Row],[Date]], "ddd")</f>
        <v>Sat</v>
      </c>
      <c r="K25" s="11">
        <v>46403</v>
      </c>
      <c r="L25" s="9">
        <v>0.79166666666666663</v>
      </c>
      <c r="M25" t="s">
        <v>56</v>
      </c>
      <c r="N25" t="s">
        <v>15</v>
      </c>
      <c r="O25" s="15">
        <f>_xlfn.XLOOKUP(Games[[#This Row],[Type]],Types[Type],Types[Price])</f>
        <v>95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$95.00 (4)</v>
      </c>
      <c r="R25" s="12"/>
      <c r="S25" s="16"/>
      <c r="T25" cm="1">
        <f t="array" aca="1" ref="T25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1.0000010638252399</v>
      </c>
      <c r="U25" cm="1">
        <f t="array" aca="1" ref="U25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1.0000010638252399</v>
      </c>
      <c r="V25">
        <f ca="1">_xlfn.RANK.EQ(Games[[#This Row],[Sort]],Games[Sort],1)</f>
        <v>18</v>
      </c>
      <c r="W25" t="str">
        <f>IF(COUNT(Games[QuadRank])&gt;0,_xlfn.RANK.EQ(Games[[#This Row],[QuadSort]],Games[QuadSort],1),"")</f>
        <v/>
      </c>
      <c r="X25" s="5"/>
      <c r="Y25" s="5"/>
      <c r="AA25" s="3"/>
      <c r="AB25" s="15"/>
      <c r="AD25">
        <f>COUNTIF(Games[Type],Types[[#This Row],[Type]])</f>
        <v>0</v>
      </c>
      <c r="AE25">
        <f>Types[[#This Row],[Games]]*Types[[#This Row],[Pairs]]*2</f>
        <v>0</v>
      </c>
      <c r="AF25" s="23">
        <f>Types[[#This Row],[Tickets]]*Types[[#This Row],[Price]]</f>
        <v>0</v>
      </c>
    </row>
    <row r="26" spans="2:32" x14ac:dyDescent="0.2">
      <c r="J26" s="7" t="str">
        <f>TEXT(Games[[#This Row],[Date]], "ddd")</f>
        <v>Mon</v>
      </c>
      <c r="K26" s="11">
        <v>46405</v>
      </c>
      <c r="L26" s="9">
        <v>0.79166666666666663</v>
      </c>
      <c r="M26" t="s">
        <v>61</v>
      </c>
      <c r="N26" t="s">
        <v>15</v>
      </c>
      <c r="O26" s="15">
        <f>_xlfn.XLOOKUP(Games[[#This Row],[Type]],Types[Type],Types[Price])</f>
        <v>95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$95.00 (4)</v>
      </c>
      <c r="R26" s="12"/>
      <c r="S26" s="16"/>
      <c r="T26" cm="1">
        <f t="array" aca="1" ref="T26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1.0000019815045575</v>
      </c>
      <c r="U26" cm="1">
        <f t="array" aca="1" ref="U26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1.0000019815045575</v>
      </c>
      <c r="V26">
        <f ca="1">_xlfn.RANK.EQ(Games[[#This Row],[Sort]],Games[Sort],1)</f>
        <v>31</v>
      </c>
      <c r="W26" t="str">
        <f>IF(COUNT(Games[QuadRank])&gt;0,_xlfn.RANK.EQ(Games[[#This Row],[QuadSort]],Games[QuadSort],1),"")</f>
        <v/>
      </c>
      <c r="X26" s="5"/>
      <c r="Y26" s="5"/>
      <c r="AA26" s="3"/>
      <c r="AB26" s="15"/>
      <c r="AD26">
        <f>COUNTIF(Games[Type],Types[[#This Row],[Type]])</f>
        <v>0</v>
      </c>
      <c r="AE26">
        <f>Types[[#This Row],[Games]]*Types[[#This Row],[Pairs]]*2</f>
        <v>0</v>
      </c>
      <c r="AF26" s="23">
        <f>Types[[#This Row],[Tickets]]*Types[[#This Row],[Price]]</f>
        <v>0</v>
      </c>
    </row>
    <row r="27" spans="2:32" x14ac:dyDescent="0.2">
      <c r="J27" s="7" t="str">
        <f>TEXT(Games[[#This Row],[Date]], "ddd")</f>
        <v>Sun</v>
      </c>
      <c r="K27" s="11">
        <v>46418</v>
      </c>
      <c r="L27" s="9">
        <v>0.54166666666666663</v>
      </c>
      <c r="M27" t="s">
        <v>62</v>
      </c>
      <c r="N27" t="s">
        <v>15</v>
      </c>
      <c r="O27" s="15">
        <f>_xlfn.XLOOKUP(Games[[#This Row],[Type]],Types[Type],Types[Price])</f>
        <v>95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$95.00 (4)</v>
      </c>
      <c r="R27" s="12"/>
      <c r="S27" s="16"/>
      <c r="T27" cm="1">
        <f t="array" aca="1" ref="T27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1.0000008065248067</v>
      </c>
      <c r="U27" cm="1">
        <f t="array" aca="1" ref="U27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1.0000008065248067</v>
      </c>
      <c r="V27">
        <f ca="1">_xlfn.RANK.EQ(Games[[#This Row],[Sort]],Games[Sort],1)</f>
        <v>12</v>
      </c>
      <c r="W27" t="str">
        <f>IF(COUNT(Games[QuadRank])&gt;0,_xlfn.RANK.EQ(Games[[#This Row],[QuadSort]],Games[QuadSort],1),"")</f>
        <v/>
      </c>
      <c r="X27" s="25" t="s">
        <v>96</v>
      </c>
      <c r="Y27" s="5"/>
      <c r="AA27" s="3"/>
      <c r="AB27" s="15"/>
      <c r="AD27">
        <f>COUNTIF(Games[Type],Types[[#This Row],[Type]])</f>
        <v>0</v>
      </c>
      <c r="AE27">
        <f>Types[[#This Row],[Games]]*Types[[#This Row],[Pairs]]*2</f>
        <v>0</v>
      </c>
      <c r="AF27" s="23">
        <f>Types[[#This Row],[Tickets]]*Types[[#This Row],[Price]]</f>
        <v>0</v>
      </c>
    </row>
    <row r="28" spans="2:32" x14ac:dyDescent="0.2">
      <c r="B28" s="13" t="b">
        <v>1</v>
      </c>
      <c r="C28" s="3" t="s">
        <v>16</v>
      </c>
      <c r="D28" s="8"/>
      <c r="E28" s="8"/>
      <c r="F28" s="8"/>
      <c r="G28" s="6"/>
      <c r="H28" s="6"/>
      <c r="I28" s="6"/>
      <c r="J28" s="7" t="str">
        <f>TEXT(Games[[#This Row],[Date]], "ddd")</f>
        <v>Wed</v>
      </c>
      <c r="K28" s="11">
        <v>46421</v>
      </c>
      <c r="L28" s="9">
        <v>0.79166666666666663</v>
      </c>
      <c r="M28" t="s">
        <v>63</v>
      </c>
      <c r="N28" t="s">
        <v>15</v>
      </c>
      <c r="O28" s="15">
        <f>_xlfn.XLOOKUP(Games[[#This Row],[Type]],Types[Type],Types[Price])</f>
        <v>95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$95.00 (4)</v>
      </c>
      <c r="R28" s="12"/>
      <c r="S28" s="16"/>
      <c r="T28" cm="1">
        <f t="array" aca="1" ref="T28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1.0000002925771034</v>
      </c>
      <c r="U28" cm="1">
        <f t="array" aca="1" ref="U28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1.0000002925771034</v>
      </c>
      <c r="V28">
        <f ca="1">_xlfn.RANK.EQ(Games[[#This Row],[Sort]],Games[Sort],1)</f>
        <v>7</v>
      </c>
      <c r="W28" t="str">
        <f>IF(COUNT(Games[QuadRank])&gt;0,_xlfn.RANK.EQ(Games[[#This Row],[QuadSort]],Games[QuadSort],1),"")</f>
        <v/>
      </c>
      <c r="X28" s="25" t="s">
        <v>97</v>
      </c>
      <c r="Y28" s="5"/>
      <c r="AA28" s="3" t="s">
        <v>23</v>
      </c>
      <c r="AD28">
        <f>SUBTOTAL(109,Types[Games])</f>
        <v>41</v>
      </c>
      <c r="AE28">
        <f>SUBTOTAL(109,Types[Tickets])</f>
        <v>164</v>
      </c>
      <c r="AF28" s="23">
        <f>SUBTOTAL(109,Types[Cost])</f>
        <v>15580</v>
      </c>
    </row>
    <row r="29" spans="2:32" x14ac:dyDescent="0.2">
      <c r="B29" s="13" t="b">
        <v>0</v>
      </c>
      <c r="C29" s="3" t="s">
        <v>26</v>
      </c>
      <c r="D29" s="8"/>
      <c r="E29" s="8"/>
      <c r="F29" s="8"/>
      <c r="G29" s="6"/>
      <c r="H29" s="6"/>
      <c r="I29" s="6"/>
      <c r="J29" s="7" t="str">
        <f>TEXT(Games[[#This Row],[Date]], "ddd")</f>
        <v>Sat</v>
      </c>
      <c r="K29" s="11">
        <v>46431</v>
      </c>
      <c r="L29" s="9">
        <v>0.79166666666666663</v>
      </c>
      <c r="M29" t="s">
        <v>64</v>
      </c>
      <c r="N29" t="s">
        <v>15</v>
      </c>
      <c r="O29" s="15">
        <f>_xlfn.XLOOKUP(Games[[#This Row],[Type]],Types[Type],Types[Price])</f>
        <v>95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$95.00 (4)</v>
      </c>
      <c r="R29" s="12"/>
      <c r="S29" s="16"/>
      <c r="T29" cm="1">
        <f t="array" aca="1" ref="T29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1.0000017356557076</v>
      </c>
      <c r="U29" cm="1">
        <f t="array" aca="1" ref="U29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1.0000017356557076</v>
      </c>
      <c r="V29">
        <f ca="1">_xlfn.RANK.EQ(Games[[#This Row],[Sort]],Games[Sort],1)</f>
        <v>27</v>
      </c>
      <c r="W29" t="str">
        <f>IF(COUNT(Games[QuadRank])&gt;0,_xlfn.RANK.EQ(Games[[#This Row],[QuadSort]],Games[QuadSort],1),"")</f>
        <v/>
      </c>
      <c r="X29" s="5"/>
      <c r="Y29" s="5"/>
    </row>
    <row r="30" spans="2:32" x14ac:dyDescent="0.2">
      <c r="B30" s="13" t="b">
        <v>0</v>
      </c>
      <c r="C30" s="3" t="s">
        <v>17</v>
      </c>
      <c r="D30" s="8"/>
      <c r="E30" s="8"/>
      <c r="F30" s="8"/>
      <c r="G30" s="6"/>
      <c r="H30" s="6"/>
      <c r="I30" s="6"/>
      <c r="J30" s="7" t="str">
        <f>TEXT(Games[[#This Row],[Date]], "ddd")</f>
        <v>Mon</v>
      </c>
      <c r="K30" s="11">
        <v>46433</v>
      </c>
      <c r="L30" s="9">
        <v>0.79166666666666663</v>
      </c>
      <c r="M30" t="s">
        <v>65</v>
      </c>
      <c r="N30" t="s">
        <v>15</v>
      </c>
      <c r="O30" s="15">
        <f>_xlfn.XLOOKUP(Games[[#This Row],[Type]],Types[Type],Types[Price])</f>
        <v>95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$95.00 (4)</v>
      </c>
      <c r="R30" s="12"/>
      <c r="S30" s="16"/>
      <c r="T30" cm="1">
        <f t="array" aca="1" ref="T30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1.0000026533350252</v>
      </c>
      <c r="U30" cm="1">
        <f t="array" aca="1" ref="U30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1.0000026533350252</v>
      </c>
      <c r="V30">
        <f ca="1">_xlfn.RANK.EQ(Games[[#This Row],[Sort]],Games[Sort],1)</f>
        <v>39</v>
      </c>
      <c r="W30" t="str">
        <f>IF(COUNT(Games[QuadRank])&gt;0,_xlfn.RANK.EQ(Games[[#This Row],[QuadSort]],Games[QuadSort],1),"")</f>
        <v/>
      </c>
      <c r="X30" s="5" t="s">
        <v>73</v>
      </c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>TEXT(Games[[#This Row],[Date]], "ddd")</f>
        <v>Wed</v>
      </c>
      <c r="K31" s="11">
        <v>46435</v>
      </c>
      <c r="L31" s="9">
        <v>0.79166666666666663</v>
      </c>
      <c r="M31" t="s">
        <v>66</v>
      </c>
      <c r="N31" t="s">
        <v>15</v>
      </c>
      <c r="O31" s="15">
        <f>_xlfn.XLOOKUP(Games[[#This Row],[Type]],Types[Type],Types[Price])</f>
        <v>95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$95.00 (4)</v>
      </c>
      <c r="R31" s="12"/>
      <c r="S31" s="16"/>
      <c r="T31" cm="1">
        <f t="array" aca="1" ref="T31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1.0000008312883155</v>
      </c>
      <c r="U31" cm="1">
        <f t="array" aca="1" ref="U31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1.0000008312883155</v>
      </c>
      <c r="V31">
        <f ca="1">_xlfn.RANK.EQ(Games[[#This Row],[Sort]],Games[Sort],1)</f>
        <v>13</v>
      </c>
      <c r="W31" t="str">
        <f>IF(COUNT(Games[QuadRank])&gt;0,_xlfn.RANK.EQ(Games[[#This Row],[QuadSort]],Games[QuadSort],1),"")</f>
        <v/>
      </c>
      <c r="X31" s="5"/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>TEXT(Games[[#This Row],[Date]], "ddd")</f>
        <v>Mon</v>
      </c>
      <c r="K32" s="11">
        <v>46440</v>
      </c>
      <c r="L32" s="9">
        <v>0.79166666666666663</v>
      </c>
      <c r="M32" t="s">
        <v>67</v>
      </c>
      <c r="N32" t="s">
        <v>15</v>
      </c>
      <c r="O32" s="15">
        <f>_xlfn.XLOOKUP(Games[[#This Row],[Type]],Types[Type],Types[Price])</f>
        <v>95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$95.00 (4)</v>
      </c>
      <c r="R32" s="12"/>
      <c r="S32" s="16"/>
      <c r="T32" cm="1">
        <f t="array" aca="1" ref="T32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1.0000027198946531</v>
      </c>
      <c r="U32" cm="1">
        <f t="array" aca="1" ref="U32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1.0000027198946531</v>
      </c>
      <c r="V32">
        <f ca="1">_xlfn.RANK.EQ(Games[[#This Row],[Sort]],Games[Sort],1)</f>
        <v>40</v>
      </c>
      <c r="W32" t="str">
        <f>IF(COUNT(Games[QuadRank])&gt;0,_xlfn.RANK.EQ(Games[[#This Row],[QuadSort]],Games[QuadSort],1),"")</f>
        <v/>
      </c>
      <c r="X32" s="25" t="s">
        <v>98</v>
      </c>
      <c r="Y32" s="5"/>
    </row>
    <row r="33" spans="2:25" x14ac:dyDescent="0.2">
      <c r="J33" s="7" t="str">
        <f>TEXT(Games[[#This Row],[Date]], "ddd")</f>
        <v>Sat</v>
      </c>
      <c r="K33" s="11">
        <v>46445</v>
      </c>
      <c r="L33" s="9">
        <v>0.79166666666666663</v>
      </c>
      <c r="M33" t="s">
        <v>68</v>
      </c>
      <c r="N33" t="s">
        <v>15</v>
      </c>
      <c r="O33" s="15">
        <f>_xlfn.XLOOKUP(Games[[#This Row],[Type]],Types[Type],Types[Price])</f>
        <v>95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$95.00 (4)</v>
      </c>
      <c r="R33" s="12"/>
      <c r="S33" s="16"/>
      <c r="T33" cm="1">
        <f t="array" aca="1" ref="T33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1.0000022743669199</v>
      </c>
      <c r="U33" cm="1">
        <f t="array" aca="1" ref="U33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1.0000022743669199</v>
      </c>
      <c r="V33">
        <f ca="1">_xlfn.RANK.EQ(Games[[#This Row],[Sort]],Games[Sort],1)</f>
        <v>35</v>
      </c>
      <c r="W33" t="str">
        <f>IF(COUNT(Games[QuadRank])&gt;0,_xlfn.RANK.EQ(Games[[#This Row],[QuadSort]],Games[QuadSort],1),"")</f>
        <v/>
      </c>
      <c r="X33" s="5"/>
      <c r="Y33" s="5"/>
    </row>
    <row r="34" spans="2:25" x14ac:dyDescent="0.2">
      <c r="J34" s="7" t="str">
        <f>TEXT(Games[[#This Row],[Date]], "ddd")</f>
        <v>Thu</v>
      </c>
      <c r="K34" s="11">
        <v>46457</v>
      </c>
      <c r="L34" s="9">
        <v>0.79166666666666663</v>
      </c>
      <c r="M34" t="s">
        <v>69</v>
      </c>
      <c r="N34" t="s">
        <v>15</v>
      </c>
      <c r="O34" s="15">
        <f>_xlfn.XLOOKUP(Games[[#This Row],[Type]],Types[Type],Types[Price])</f>
        <v>95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$95.00 (4)</v>
      </c>
      <c r="R34" s="12"/>
      <c r="S34" s="16"/>
      <c r="T34" cm="1">
        <f t="array" aca="1" ref="T34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1.0000018953988143</v>
      </c>
      <c r="U34" cm="1">
        <f t="array" aca="1" ref="U34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1.0000018953988143</v>
      </c>
      <c r="V34">
        <f ca="1">_xlfn.RANK.EQ(Games[[#This Row],[Sort]],Games[Sort],1)</f>
        <v>30</v>
      </c>
      <c r="W34" t="str">
        <f>IF(COUNT(Games[QuadRank])&gt;0,_xlfn.RANK.EQ(Games[[#This Row],[QuadSort]],Games[QuadSort],1),"")</f>
        <v/>
      </c>
      <c r="X34" s="25" t="s">
        <v>99</v>
      </c>
      <c r="Y34" s="5"/>
    </row>
    <row r="35" spans="2:25" x14ac:dyDescent="0.2">
      <c r="J35" s="7" t="str">
        <f>TEXT(Games[[#This Row],[Date]], "ddd")</f>
        <v>Sat</v>
      </c>
      <c r="K35" s="11">
        <v>46459</v>
      </c>
      <c r="L35" s="9">
        <v>0.79166666666666663</v>
      </c>
      <c r="M35" t="s">
        <v>51</v>
      </c>
      <c r="N35" t="s">
        <v>15</v>
      </c>
      <c r="O35" s="15">
        <f>_xlfn.XLOOKUP(Games[[#This Row],[Type]],Types[Type],Types[Price])</f>
        <v>95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$95.00 (4)</v>
      </c>
      <c r="R35" s="12"/>
      <c r="S35" s="16"/>
      <c r="T35" cm="1">
        <f t="array" aca="1" ref="T35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1.0000000733521046</v>
      </c>
      <c r="U35" cm="1">
        <f t="array" aca="1" ref="U35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1.0000000733521046</v>
      </c>
      <c r="V35">
        <f ca="1">_xlfn.RANK.EQ(Games[[#This Row],[Sort]],Games[Sort],1)</f>
        <v>2</v>
      </c>
      <c r="W35" t="str">
        <f>IF(COUNT(Games[QuadRank])&gt;0,_xlfn.RANK.EQ(Games[[#This Row],[QuadSort]],Games[QuadSort],1),"")</f>
        <v/>
      </c>
      <c r="X35" s="25" t="s">
        <v>100</v>
      </c>
      <c r="Y35" s="5"/>
    </row>
    <row r="36" spans="2:25" x14ac:dyDescent="0.2">
      <c r="J36" s="7" t="str">
        <f>TEXT(Games[[#This Row],[Date]], "ddd")</f>
        <v>Mon</v>
      </c>
      <c r="K36" s="11">
        <v>46461</v>
      </c>
      <c r="L36" s="9">
        <v>0.70833333333333337</v>
      </c>
      <c r="M36" t="s">
        <v>64</v>
      </c>
      <c r="N36" t="s">
        <v>15</v>
      </c>
      <c r="O36" s="15">
        <f>_xlfn.XLOOKUP(Games[[#This Row],[Type]],Types[Type],Types[Price])</f>
        <v>95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$95.00 (4)</v>
      </c>
      <c r="R36" s="12"/>
      <c r="S36" s="16"/>
      <c r="T36" cm="1">
        <f t="array" aca="1" ref="T36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1.0000013321321879</v>
      </c>
      <c r="U36" cm="1">
        <f t="array" aca="1" ref="U36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1.0000013321321879</v>
      </c>
      <c r="V36">
        <f ca="1">_xlfn.RANK.EQ(Games[[#This Row],[Sort]],Games[Sort],1)</f>
        <v>21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>TEXT(Games[[#This Row],[Date]], "ddd")</f>
        <v>Fri</v>
      </c>
      <c r="K37" s="11">
        <v>46465</v>
      </c>
      <c r="L37" s="9">
        <v>0.79166666666666663</v>
      </c>
      <c r="M37" t="s">
        <v>70</v>
      </c>
      <c r="N37" t="s">
        <v>15</v>
      </c>
      <c r="O37" s="15">
        <f>_xlfn.XLOOKUP(Games[[#This Row],[Type]],Types[Type],Types[Price])</f>
        <v>95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$95.00 (4)</v>
      </c>
      <c r="R37" s="12"/>
      <c r="S37" s="16"/>
      <c r="T37" cm="1">
        <f t="array" aca="1" ref="T37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1.0000024207981011</v>
      </c>
      <c r="U37" cm="1">
        <f t="array" aca="1" ref="U37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1.0000024207981011</v>
      </c>
      <c r="V37">
        <f ca="1">_xlfn.RANK.EQ(Games[[#This Row],[Sort]],Games[Sort],1)</f>
        <v>37</v>
      </c>
      <c r="W37" t="str">
        <f>IF(COUNT(Games[QuadRank])&gt;0,_xlfn.RANK.EQ(Games[[#This Row],[QuadSort]],Games[QuadSort],1),"")</f>
        <v/>
      </c>
      <c r="X37" s="25" t="s">
        <v>101</v>
      </c>
      <c r="Y37" s="5"/>
    </row>
    <row r="38" spans="2:25" x14ac:dyDescent="0.2">
      <c r="J38" s="7" t="str">
        <f>TEXT(Games[[#This Row],[Date]], "ddd")</f>
        <v>Sun</v>
      </c>
      <c r="K38" s="11">
        <v>46467</v>
      </c>
      <c r="L38" s="9">
        <v>0.79166666666666663</v>
      </c>
      <c r="M38" t="s">
        <v>69</v>
      </c>
      <c r="N38" t="s">
        <v>15</v>
      </c>
      <c r="O38" s="15">
        <f>_xlfn.XLOOKUP(Games[[#This Row],[Type]],Types[Type],Types[Price])</f>
        <v>95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$95.00 (4)</v>
      </c>
      <c r="R38" s="12"/>
      <c r="S38" s="16"/>
      <c r="T38" cm="1">
        <f t="array" aca="1" ref="T38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1.0000005987513914</v>
      </c>
      <c r="U38" cm="1">
        <f t="array" aca="1" ref="U38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1.0000005987513914</v>
      </c>
      <c r="V38">
        <f ca="1">_xlfn.RANK.EQ(Games[[#This Row],[Sort]],Games[Sort],1)</f>
        <v>9</v>
      </c>
      <c r="W38" t="str">
        <f>IF(COUNT(Games[QuadRank])&gt;0,_xlfn.RANK.EQ(Games[[#This Row],[QuadSort]],Games[QuadSort],1),"")</f>
        <v/>
      </c>
      <c r="X38" s="25" t="s">
        <v>96</v>
      </c>
      <c r="Y38" s="5"/>
    </row>
    <row r="39" spans="2:25" x14ac:dyDescent="0.2">
      <c r="B39" s="13" t="b">
        <v>0</v>
      </c>
      <c r="C39" t="s">
        <v>5</v>
      </c>
      <c r="D39" s="14"/>
      <c r="E39" t="s">
        <v>6</v>
      </c>
      <c r="J39" s="7" t="str">
        <f>TEXT(Games[[#This Row],[Date]], "ddd")</f>
        <v>Tue</v>
      </c>
      <c r="K39" s="11">
        <v>46469</v>
      </c>
      <c r="L39" s="9">
        <v>0.79166666666666663</v>
      </c>
      <c r="M39" t="s">
        <v>42</v>
      </c>
      <c r="N39" t="s">
        <v>15</v>
      </c>
      <c r="O39" s="15">
        <f>_xlfn.XLOOKUP(Games[[#This Row],[Type]],Types[Type],Types[Price])</f>
        <v>95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$95.00 (4)</v>
      </c>
      <c r="R39" s="12"/>
      <c r="S39" s="16"/>
      <c r="T39" cm="1">
        <f t="array" aca="1" ref="T39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1.000001516430709</v>
      </c>
      <c r="U39" cm="1">
        <f t="array" aca="1" ref="U39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1.000001516430709</v>
      </c>
      <c r="V39">
        <f ca="1">_xlfn.RANK.EQ(Games[[#This Row],[Sort]],Games[Sort],1)</f>
        <v>23</v>
      </c>
      <c r="W39" t="str">
        <f>IF(COUNT(Games[QuadRank])&gt;0,_xlfn.RANK.EQ(Games[[#This Row],[QuadSort]],Games[QuadSort],1),"")</f>
        <v/>
      </c>
      <c r="X39" s="5"/>
      <c r="Y39" s="5"/>
    </row>
    <row r="40" spans="2:25" x14ac:dyDescent="0.2">
      <c r="B40" s="13" t="b">
        <v>0</v>
      </c>
      <c r="C40" t="s">
        <v>7</v>
      </c>
      <c r="D40" s="14"/>
      <c r="E40" t="s">
        <v>6</v>
      </c>
      <c r="J40" s="7" t="str">
        <f>TEXT(Games[[#This Row],[Date]], "ddd")</f>
        <v>Thu</v>
      </c>
      <c r="K40" s="11">
        <v>46471</v>
      </c>
      <c r="L40" s="9">
        <v>0.79166666666666663</v>
      </c>
      <c r="M40" t="s">
        <v>49</v>
      </c>
      <c r="N40" t="s">
        <v>15</v>
      </c>
      <c r="O40" s="15">
        <f>_xlfn.XLOOKUP(Games[[#This Row],[Type]],Types[Type],Types[Price])</f>
        <v>95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$95.00 (4)</v>
      </c>
      <c r="R40" s="12"/>
      <c r="S40" s="16"/>
      <c r="T40" cm="1">
        <f t="array" aca="1" ref="T40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1.00000202851807</v>
      </c>
      <c r="U40" cm="1">
        <f t="array" aca="1" ref="U40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1.00000202851807</v>
      </c>
      <c r="V40">
        <f ca="1">_xlfn.RANK.EQ(Games[[#This Row],[Sort]],Games[Sort],1)</f>
        <v>33</v>
      </c>
      <c r="W40" t="str">
        <f>IF(COUNT(Games[QuadRank])&gt;0,_xlfn.RANK.EQ(Games[[#This Row],[QuadSort]],Games[QuadSort],1),"")</f>
        <v/>
      </c>
      <c r="X40" s="5"/>
      <c r="Y40" s="5"/>
    </row>
    <row r="41" spans="2:25" x14ac:dyDescent="0.2">
      <c r="B41" s="13" t="b">
        <v>0</v>
      </c>
      <c r="C41" t="s">
        <v>5</v>
      </c>
      <c r="D41" s="14"/>
      <c r="E41" t="s">
        <v>12</v>
      </c>
      <c r="J41" s="7" t="str">
        <f>TEXT(Games[[#This Row],[Date]], "ddd")</f>
        <v>Tue</v>
      </c>
      <c r="K41" s="11">
        <v>46476</v>
      </c>
      <c r="L41" s="9">
        <v>0.66666666666666663</v>
      </c>
      <c r="M41" t="s">
        <v>44</v>
      </c>
      <c r="N41" t="s">
        <v>15</v>
      </c>
      <c r="O41" s="15">
        <f>_xlfn.XLOOKUP(Games[[#This Row],[Type]],Types[Type],Types[Price])</f>
        <v>95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$95.00 (4)</v>
      </c>
      <c r="R41" s="12"/>
      <c r="S41" s="16"/>
      <c r="T41" cm="1">
        <f t="array" aca="1" ref="T41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1.0000019842572772</v>
      </c>
      <c r="U41" cm="1">
        <f t="array" aca="1" ref="U41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1.0000019842572772</v>
      </c>
      <c r="V41">
        <f ca="1">_xlfn.RANK.EQ(Games[[#This Row],[Sort]],Games[Sort],1)</f>
        <v>32</v>
      </c>
      <c r="W41" t="str">
        <f>IF(COUNT(Games[QuadRank])&gt;0,_xlfn.RANK.EQ(Games[[#This Row],[QuadSort]],Games[QuadSort],1),"")</f>
        <v/>
      </c>
      <c r="X41" s="25" t="s">
        <v>102</v>
      </c>
      <c r="Y41" s="5"/>
    </row>
    <row r="42" spans="2:25" x14ac:dyDescent="0.2">
      <c r="B42" s="13" t="b">
        <v>0</v>
      </c>
      <c r="C42" t="s">
        <v>7</v>
      </c>
      <c r="D42" s="14"/>
      <c r="E42" t="s">
        <v>12</v>
      </c>
      <c r="J42" s="7" t="str">
        <f>TEXT(Games[[#This Row],[Date]], "ddd")</f>
        <v>Sat</v>
      </c>
      <c r="K42" s="11">
        <v>46480</v>
      </c>
      <c r="L42" s="9">
        <v>0.79166666666666663</v>
      </c>
      <c r="M42" t="s">
        <v>68</v>
      </c>
      <c r="N42" t="s">
        <v>15</v>
      </c>
      <c r="O42" s="15">
        <f>_xlfn.XLOOKUP(Games[[#This Row],[Type]],Types[Type],Types[Price])</f>
        <v>95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$95.00 (4)</v>
      </c>
      <c r="R42" s="12"/>
      <c r="S42" s="16"/>
      <c r="T42" cm="1">
        <f t="array" aca="1" ref="T42" ca="1">IF(ISNUMBER(Games[[#This Row],[Rank]]),Games[[#This Row],[Rank]],MAX(Games[Rank])+1)+IF($B$28,HASH(Games[[#This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1.000000273030988</v>
      </c>
      <c r="U42" cm="1">
        <f t="array" aca="1" ref="U42" ca="1">IF(ISNUMBER(Games[[#This Row],[QuadRank]]),Games[[#This Row],[QuadRank]],IF(ISNUMBER(Games[[#This Row],[Rank]]),Games[[#This Row],[Rank]],MAX(Games[Rank])+1)+MAX(Games[QuadRank]))+IF($B$28,HASH(Games[[#This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1.000000273030988</v>
      </c>
      <c r="V42">
        <f ca="1">_xlfn.RANK.EQ(Games[[#This Row],[Sort]],Games[Sort],1)</f>
        <v>6</v>
      </c>
      <c r="W42" t="str">
        <f>IF(COUNT(Games[QuadRank])&gt;0,_xlfn.RANK.EQ(Games[[#This Row],[QuadSort]],Games[QuadSort],1),"")</f>
        <v/>
      </c>
      <c r="X42" s="5" t="s">
        <v>74</v>
      </c>
      <c r="Y42" s="5"/>
    </row>
    <row r="43" spans="2:25" x14ac:dyDescent="0.2">
      <c r="B43" s="13" t="b">
        <v>0</v>
      </c>
      <c r="C43" t="s">
        <v>5</v>
      </c>
      <c r="D43" s="14"/>
      <c r="E43" t="s">
        <v>13</v>
      </c>
    </row>
    <row r="44" spans="2:25" x14ac:dyDescent="0.2">
      <c r="B44" s="13" t="b">
        <v>0</v>
      </c>
      <c r="C44" t="s">
        <v>7</v>
      </c>
      <c r="D44" s="14"/>
      <c r="E44" t="s">
        <v>13</v>
      </c>
    </row>
    <row r="45" spans="2:25" x14ac:dyDescent="0.2">
      <c r="B45" s="13" t="b">
        <v>0</v>
      </c>
      <c r="C45" t="s">
        <v>5</v>
      </c>
      <c r="D45" s="14"/>
      <c r="E45" t="s">
        <v>8</v>
      </c>
    </row>
    <row r="46" spans="2:25" x14ac:dyDescent="0.2">
      <c r="B46" s="13" t="b">
        <v>0</v>
      </c>
      <c r="C46" t="s">
        <v>7</v>
      </c>
      <c r="D46" s="14"/>
      <c r="E46" t="s">
        <v>8</v>
      </c>
    </row>
    <row r="47" spans="2:25" x14ac:dyDescent="0.2">
      <c r="B47" s="13" t="b">
        <v>0</v>
      </c>
      <c r="C47" t="s">
        <v>5</v>
      </c>
      <c r="D47" s="14"/>
      <c r="E47" t="s">
        <v>10</v>
      </c>
    </row>
    <row r="48" spans="2:25" x14ac:dyDescent="0.2">
      <c r="B48" s="13" t="b">
        <v>0</v>
      </c>
      <c r="C48" t="s">
        <v>7</v>
      </c>
      <c r="D48" s="14"/>
      <c r="E48" t="s">
        <v>10</v>
      </c>
    </row>
    <row r="49" spans="2:5" x14ac:dyDescent="0.2">
      <c r="B49" s="13" t="b">
        <v>0</v>
      </c>
      <c r="C49" t="s">
        <v>5</v>
      </c>
      <c r="D49" s="14"/>
      <c r="E49" t="s">
        <v>11</v>
      </c>
    </row>
    <row r="50" spans="2:5" x14ac:dyDescent="0.2">
      <c r="B50" s="13" t="b">
        <v>0</v>
      </c>
      <c r="C50" t="s">
        <v>7</v>
      </c>
      <c r="D50" s="14"/>
      <c r="E50" t="s">
        <v>11</v>
      </c>
    </row>
    <row r="51" spans="2:5" x14ac:dyDescent="0.2">
      <c r="B51" s="13" t="b">
        <v>0</v>
      </c>
      <c r="C51" t="s">
        <v>7</v>
      </c>
      <c r="D51" s="14"/>
      <c r="E51" t="s">
        <v>9</v>
      </c>
    </row>
    <row r="52" spans="2:5" x14ac:dyDescent="0.2">
      <c r="B52" s="13" t="b">
        <v>0</v>
      </c>
      <c r="C52" t="s">
        <v>7</v>
      </c>
      <c r="D52" s="14"/>
      <c r="E52" t="s">
        <v>14</v>
      </c>
    </row>
  </sheetData>
  <phoneticPr fontId="0" type="noConversion"/>
  <conditionalFormatting sqref="AE18:AE19">
    <cfRule type="cellIs" dxfId="2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C690-876C-47D9-8B0D-C37AFD03ACD4}">
  <dimension ref="A1:E8"/>
  <sheetViews>
    <sheetView workbookViewId="0">
      <selection sqref="A1:E8"/>
    </sheetView>
  </sheetViews>
  <sheetFormatPr defaultRowHeight="12.75" x14ac:dyDescent="0.2"/>
  <cols>
    <col min="4" max="4" width="9.7109375" bestFit="1" customWidth="1"/>
  </cols>
  <sheetData>
    <row r="1" spans="1:5" x14ac:dyDescent="0.2">
      <c r="A1" t="s">
        <v>85</v>
      </c>
      <c r="B1" t="s">
        <v>82</v>
      </c>
      <c r="D1" s="24">
        <v>950</v>
      </c>
      <c r="E1">
        <f t="shared" ref="E1:E8" si="0">D1/(95)</f>
        <v>10</v>
      </c>
    </row>
    <row r="2" spans="1:5" x14ac:dyDescent="0.2">
      <c r="A2" t="s">
        <v>89</v>
      </c>
      <c r="B2" t="s">
        <v>82</v>
      </c>
      <c r="D2" s="24">
        <v>570</v>
      </c>
      <c r="E2">
        <f t="shared" si="0"/>
        <v>6</v>
      </c>
    </row>
    <row r="3" spans="1:5" x14ac:dyDescent="0.2">
      <c r="A3" t="s">
        <v>81</v>
      </c>
      <c r="B3" t="s">
        <v>82</v>
      </c>
      <c r="D3" s="24">
        <v>3230</v>
      </c>
      <c r="E3">
        <f t="shared" si="0"/>
        <v>34</v>
      </c>
    </row>
    <row r="4" spans="1:5" x14ac:dyDescent="0.2">
      <c r="A4" t="s">
        <v>86</v>
      </c>
      <c r="B4" t="s">
        <v>82</v>
      </c>
      <c r="D4" s="24">
        <v>760</v>
      </c>
      <c r="E4">
        <f t="shared" si="0"/>
        <v>8</v>
      </c>
    </row>
    <row r="5" spans="1:5" x14ac:dyDescent="0.2">
      <c r="A5" t="s">
        <v>83</v>
      </c>
      <c r="B5" t="s">
        <v>82</v>
      </c>
      <c r="D5" s="24">
        <v>1710</v>
      </c>
      <c r="E5">
        <f t="shared" si="0"/>
        <v>18</v>
      </c>
    </row>
    <row r="6" spans="1:5" x14ac:dyDescent="0.2">
      <c r="A6" t="s">
        <v>84</v>
      </c>
      <c r="B6" t="s">
        <v>82</v>
      </c>
      <c r="D6" s="24">
        <v>1140</v>
      </c>
      <c r="E6">
        <f t="shared" si="0"/>
        <v>12</v>
      </c>
    </row>
    <row r="7" spans="1:5" x14ac:dyDescent="0.2">
      <c r="A7" t="s">
        <v>87</v>
      </c>
      <c r="B7" t="s">
        <v>82</v>
      </c>
      <c r="D7" s="24">
        <v>760</v>
      </c>
      <c r="E7">
        <f t="shared" si="0"/>
        <v>8</v>
      </c>
    </row>
    <row r="8" spans="1:5" x14ac:dyDescent="0.2">
      <c r="A8" t="s">
        <v>88</v>
      </c>
      <c r="B8" t="s">
        <v>82</v>
      </c>
      <c r="D8" s="24">
        <v>760</v>
      </c>
      <c r="E8">
        <f t="shared" si="0"/>
        <v>8</v>
      </c>
    </row>
  </sheetData>
  <sortState xmlns:xlrd2="http://schemas.microsoft.com/office/spreadsheetml/2017/richdata2" ref="A1:E8">
    <sortCondition ref="A1:A8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2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3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Sheet1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2026-10-04T13:59:27Z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